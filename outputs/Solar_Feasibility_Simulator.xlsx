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Resumo" sheetId="1" state="visible" r:id="rId1"/>
    <sheet name="02_Entradas" sheetId="2" state="visible" r:id="rId2"/>
    <sheet name="03_Consumo" sheetId="3" state="visible" r:id="rId3"/>
    <sheet name="04_Geração" sheetId="4" state="visible" r:id="rId4"/>
    <sheet name="05_Custos" sheetId="5" state="visible" r:id="rId5"/>
    <sheet name="06_Fluxo_Caixa" sheetId="6" state="visible" r:id="rId6"/>
    <sheet name="07_Cenários" sheetId="7" state="visible" r:id="rId7"/>
    <sheet name="08_Sensibilidade" sheetId="8" state="visible" r:id="rId8"/>
    <sheet name="09_Mapa_CAPEX_Tarifa" sheetId="9" state="visible" r:id="rId9"/>
    <sheet name="10_Premissas" sheetId="10" state="visible" r:id="rId10"/>
    <sheet name="11_Documentação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&quot;R$&quot;#,##0"/>
    <numFmt numFmtId="166" formatCode="#,##0.0"/>
  </numFmts>
  <fonts count="7">
    <font>
      <name val="Calibri"/>
      <family val="2"/>
      <color theme="1"/>
      <sz val="11"/>
      <scheme val="minor"/>
    </font>
    <font>
      <name val="Arial"/>
      <b val="1"/>
      <color rgb="001F2937"/>
      <sz val="16"/>
    </font>
    <font>
      <name val="Arial"/>
      <i val="1"/>
      <color rgb="00667085"/>
      <sz val="10"/>
    </font>
    <font>
      <name val="Arial"/>
      <b val="1"/>
      <color rgb="00FFFFFF"/>
    </font>
    <font>
      <name val="Arial"/>
      <color rgb="000000FF"/>
    </font>
    <font>
      <name val="Arial"/>
      <color rgb="001F2937"/>
      <sz val="10"/>
    </font>
    <font>
      <name val="Arial"/>
      <b val="1"/>
      <color rgb="001F2937"/>
      <sz val="12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0D5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5" fillId="2" borderId="1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166" fontId="5" fillId="0" borderId="1" applyAlignment="1" pivotButton="0" quotePrefix="0" xfId="0">
      <alignment vertical="center"/>
    </xf>
    <xf numFmtId="165" fontId="5" fillId="0" borderId="1" applyAlignment="1" pivotButton="0" quotePrefix="0" xfId="0">
      <alignment vertical="center"/>
    </xf>
    <xf numFmtId="164" fontId="5" fillId="0" borderId="1" applyAlignment="1" pivotButton="0" quotePrefix="0" xfId="0">
      <alignment vertical="center"/>
    </xf>
    <xf numFmtId="0" fontId="5" fillId="3" borderId="1" applyAlignment="1" pivotButton="0" quotePrefix="0" xfId="0">
      <alignment vertical="center"/>
    </xf>
    <xf numFmtId="165" fontId="5" fillId="3" borderId="1" applyAlignment="1" pivotButton="0" quotePrefix="0" xfId="0">
      <alignment vertical="center"/>
    </xf>
    <xf numFmtId="164" fontId="5" fillId="3" borderId="1" applyAlignment="1" pivotButton="0" quotePrefix="0" xfId="0">
      <alignment vertical="center"/>
    </xf>
  </cellXfs>
  <cellStyles count="1">
    <cellStyle name="Normal" xfId="0" builtinId="0" hidden="0"/>
  </cellStyles>
  <dxfs count="1"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Consumo x geração mensal</a:t>
            </a:r>
          </a:p>
        </rich>
      </tx>
    </title>
    <plotArea>
      <lineChart>
        <grouping val="standard"/>
        <ser>
          <idx val="0"/>
          <order val="0"/>
          <tx>
            <strRef>
              <f>'04_Geração'!C4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'04_Geração'!$A$5:$A$16</f>
            </numRef>
          </cat>
          <val>
            <numRef>
              <f>'04_Geração'!$C$5:$C$16</f>
            </numRef>
          </val>
        </ser>
        <ser>
          <idx val="1"/>
          <order val="1"/>
          <tx>
            <strRef>
              <f>'04_Geração'!D4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'04_Geração'!$A$5:$A$16</f>
            </numRef>
          </cat>
          <val>
            <numRef>
              <f>'04_Geração'!$D$5:$D$16</f>
            </numRef>
          </val>
        </ser>
        <ser>
          <idx val="2"/>
          <order val="2"/>
          <tx>
            <strRef>
              <f>'04_Geração'!E4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'04_Geração'!$A$5:$A$16</f>
            </numRef>
          </cat>
          <val>
            <numRef>
              <f>'04_Geração'!$E$5:$E$16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Mês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kWh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Fluxo de caixa anual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'06_Fluxo_Caixa'!H4</f>
            </strRef>
          </tx>
          <spPr>
            <a:ln>
              <a:prstDash val="solid"/>
            </a:ln>
          </spPr>
          <cat>
            <numRef>
              <f>'06_Fluxo_Caixa'!$A$5:$A$30</f>
            </numRef>
          </cat>
          <val>
            <numRef>
              <f>'06_Fluxo_Caixa'!$H$5:$H$30</f>
            </numRef>
          </val>
        </ser>
        <ser>
          <idx val="1"/>
          <order val="1"/>
          <tx>
            <strRef>
              <f>'06_Fluxo_Caixa'!I4</f>
            </strRef>
          </tx>
          <spPr>
            <a:ln>
              <a:prstDash val="solid"/>
            </a:ln>
          </spPr>
          <cat>
            <numRef>
              <f>'06_Fluxo_Caixa'!$A$5:$A$30</f>
            </numRef>
          </cat>
          <val>
            <numRef>
              <f>'06_Fluxo_Caixa'!$I$5:$I$30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Composição de custos</a:t>
            </a:r>
          </a:p>
        </rich>
      </tx>
    </title>
    <plotArea>
      <doughnutChart>
        <varyColors val="1"/>
        <ser>
          <idx val="0"/>
          <order val="0"/>
          <spPr>
            <a:ln>
              <a:prstDash val="solid"/>
            </a:ln>
          </spPr>
          <cat>
            <numRef>
              <f>'05_Custos'!$A$5:$A$8</f>
            </numRef>
          </cat>
          <val>
            <numRef>
              <f>'05_Custos'!$B$5:$B$8</f>
            </numRef>
          </val>
        </ser>
        <firstSliceAng val="0"/>
        <holeSize val="10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7</row>
      <rowOff>0</rowOff>
    </from>
    <ext cx="504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22</row>
      <rowOff>0</rowOff>
    </from>
    <ext cx="504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19</row>
      <rowOff>0</rowOff>
    </from>
    <ext cx="3960000" cy="25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1F4E78"/>
    <outlinePr summaryBelow="1" summaryRight="1"/>
    <pageSetUpPr/>
  </sheetPr>
  <dimension ref="A1:E17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Simulador de Viabilidade Técnica e Econômica de Energia Solar</t>
        </is>
      </c>
      <c r="B1" s="2" t="n"/>
      <c r="C1" s="2" t="n"/>
      <c r="D1" s="2" t="n"/>
      <c r="E1" s="2" t="n"/>
    </row>
    <row r="2">
      <c r="A2" s="3" t="inlineStr">
        <is>
          <t>Dados fictícios para demonstração. Premissas ilustrativas e editáveis.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4" t="inlineStr">
        <is>
          <t>Indicador</t>
        </is>
      </c>
      <c r="B4" s="4" t="inlineStr">
        <is>
          <t>Valor</t>
        </is>
      </c>
      <c r="C4" s="4" t="inlineStr">
        <is>
          <t>Unidade</t>
        </is>
      </c>
      <c r="D4" s="2" t="n"/>
      <c r="E4" s="5" t="inlineStr">
        <is>
          <t>Resumo</t>
        </is>
      </c>
    </row>
    <row r="5">
      <c r="A5" s="6" t="inlineStr">
        <is>
          <t>Potência instalada</t>
        </is>
      </c>
      <c r="B5" s="7">
        <f>04_Geração!J5</f>
        <v/>
      </c>
      <c r="C5" s="6" t="inlineStr">
        <is>
          <t>kWp</t>
        </is>
      </c>
      <c r="D5" s="2" t="n"/>
      <c r="E5" s="2" t="inlineStr">
        <is>
          <t>Critério: Atrativo quando VPL &gt; 0 e TIR &gt; TMA.</t>
        </is>
      </c>
    </row>
    <row r="6">
      <c r="A6" s="6" t="inlineStr">
        <is>
          <t>Módulos</t>
        </is>
      </c>
      <c r="B6" s="6">
        <f>04_Geração!J6</f>
        <v/>
      </c>
      <c r="C6" s="6" t="inlineStr">
        <is>
          <t>un</t>
        </is>
      </c>
      <c r="D6" s="2" t="n"/>
      <c r="E6" s="2" t="inlineStr">
        <is>
          <t>Tarifa, irradiação, CAPEX e CO2 são premissas configuráveis.</t>
        </is>
      </c>
    </row>
    <row r="7">
      <c r="A7" s="6" t="inlineStr">
        <is>
          <t>Geração anual</t>
        </is>
      </c>
      <c r="B7" s="7">
        <f>SUM(04_Geração!E5:E16)</f>
        <v/>
      </c>
      <c r="C7" s="6" t="inlineStr">
        <is>
          <t>kWh</t>
        </is>
      </c>
      <c r="D7" s="2" t="n"/>
      <c r="E7" s="2" t="n"/>
    </row>
    <row r="8">
      <c r="A8" s="6" t="inlineStr">
        <is>
          <t>Economia Ano 1</t>
        </is>
      </c>
      <c r="B8" s="8">
        <f>06_Fluxo_Caixa!G6</f>
        <v/>
      </c>
      <c r="C8" s="6" t="inlineStr">
        <is>
          <t>R$</t>
        </is>
      </c>
      <c r="D8" s="2" t="n"/>
      <c r="E8" s="2" t="n"/>
    </row>
    <row r="9">
      <c r="A9" s="6" t="inlineStr">
        <is>
          <t>CAPEX</t>
        </is>
      </c>
      <c r="B9" s="6">
        <f>05_Custos!B5</f>
        <v/>
      </c>
      <c r="C9" s="6" t="inlineStr">
        <is>
          <t>R$</t>
        </is>
      </c>
      <c r="D9" s="2" t="n"/>
      <c r="E9" s="2" t="n"/>
    </row>
    <row r="10">
      <c r="A10" s="6" t="inlineStr">
        <is>
          <t>Payback simples</t>
        </is>
      </c>
      <c r="B10" s="6">
        <f>MATCH(TRUE,06_Fluxo_Caixa!I5:I30&gt;=0,0)-2+(ABS(INDEX(06_Fluxo_Caixa!I5:I30,MATCH(TRUE,06_Fluxo_Caixa!I5:I30&gt;=0,0)-1))/(INDEX(06_Fluxo_Caixa!I5:I30,MATCH(TRUE,06_Fluxo_Caixa!I5:I30&gt;=0,0))-INDEX(06_Fluxo_Caixa!I5:I30,MATCH(TRUE,06_Fluxo_Caixa!I5:I30&gt;=0,0)-1)))</f>
        <v/>
      </c>
      <c r="C10" s="6" t="inlineStr">
        <is>
          <t>anos</t>
        </is>
      </c>
      <c r="D10" s="2" t="n"/>
      <c r="E10" s="2" t="n"/>
    </row>
    <row r="11">
      <c r="A11" s="6" t="inlineStr">
        <is>
          <t>Payback descontado</t>
        </is>
      </c>
      <c r="B11" s="8">
        <f>MATCH(TRUE,06_Fluxo_Caixa!L5:L30&gt;=0,0)-2+(ABS(INDEX(06_Fluxo_Caixa!L5:L30,MATCH(TRUE,06_Fluxo_Caixa!L5:L30&gt;=0,0)-1))/(INDEX(06_Fluxo_Caixa!L5:L30,MATCH(TRUE,06_Fluxo_Caixa!L5:L30&gt;=0,0))-INDEX(06_Fluxo_Caixa!L5:L30,MATCH(TRUE,06_Fluxo_Caixa!L5:L30&gt;=0,0)-1)))</f>
        <v/>
      </c>
      <c r="C11" s="6" t="inlineStr">
        <is>
          <t>anos</t>
        </is>
      </c>
      <c r="D11" s="2" t="n"/>
      <c r="E11" s="2" t="n"/>
    </row>
    <row r="12">
      <c r="A12" s="6" t="inlineStr">
        <is>
          <t>VPL</t>
        </is>
      </c>
      <c r="B12" s="8">
        <f>SUM(06_Fluxo_Caixa!K5:K30)</f>
        <v/>
      </c>
      <c r="C12" s="6" t="inlineStr">
        <is>
          <t>R$</t>
        </is>
      </c>
      <c r="D12" s="2" t="n"/>
      <c r="E12" s="2" t="n"/>
    </row>
    <row r="13">
      <c r="A13" s="6" t="inlineStr">
        <is>
          <t>TIR</t>
        </is>
      </c>
      <c r="B13" s="9">
        <f>IRR(06_Fluxo_Caixa!H5:H30)</f>
        <v/>
      </c>
      <c r="C13" s="6" t="inlineStr">
        <is>
          <t>%</t>
        </is>
      </c>
      <c r="D13" s="2" t="n"/>
      <c r="E13" s="2" t="n"/>
    </row>
    <row r="14">
      <c r="A14" s="6" t="inlineStr">
        <is>
          <t>ROI acumulado em 25 anos</t>
        </is>
      </c>
      <c r="B14" s="9">
        <f>SUM(06_Fluxo_Caixa!G6:G30)/ABS(06_Fluxo_Caixa!H5)</f>
        <v/>
      </c>
      <c r="C14" s="6" t="inlineStr">
        <is>
          <t>%</t>
        </is>
      </c>
      <c r="D14" s="2" t="n"/>
      <c r="E14" s="2" t="n"/>
    </row>
    <row r="15">
      <c r="A15" s="6" t="inlineStr">
        <is>
          <t>LCOE</t>
        </is>
      </c>
      <c r="B15" s="6">
        <f>((05_Custos!B5)+SUMPRODUCT(06_Fluxo_Caixa!E6:E30+06_Fluxo_Caixa!F6:F30,06_Fluxo_Caixa!J6:J30))/SUMPRODUCT(06_Fluxo_Caixa!B6:B30,06_Fluxo_Caixa!J6:J30)</f>
        <v/>
      </c>
      <c r="C15" s="6" t="inlineStr">
        <is>
          <t>R$/kWh</t>
        </is>
      </c>
      <c r="D15" s="2" t="n"/>
      <c r="E15" s="2" t="n"/>
    </row>
    <row r="16">
      <c r="A16" s="6" t="inlineStr">
        <is>
          <t>CO2 evitado vida útil</t>
        </is>
      </c>
      <c r="B16" s="6">
        <f>SUM(06_Fluxo_Caixa!B6:B30)*02_Entradas!B21/1000</f>
        <v/>
      </c>
      <c r="C16" s="6" t="inlineStr">
        <is>
          <t>tCO2e</t>
        </is>
      </c>
      <c r="D16" s="2" t="n"/>
      <c r="E16" s="2" t="n"/>
    </row>
    <row r="17">
      <c r="A17" s="6" t="inlineStr">
        <is>
          <t>Resultado</t>
        </is>
      </c>
      <c r="B17" s="6">
        <f>IF(AND(B12&gt;0,B13&gt;02_Entradas!B20),"Atrativo",IF(OR(B12&gt;0,B13&gt;02_Entradas!B20),"Moderado","Pouco atrativo"))</f>
        <v/>
      </c>
      <c r="C17" s="6" t="inlineStr"/>
      <c r="D17" s="2" t="n"/>
      <c r="E17" s="2" t="n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F766E"/>
    <outlinePr summaryBelow="1" summaryRight="1"/>
    <pageSetUpPr/>
  </sheetPr>
  <dimension ref="A1:C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Entradas editáveis</t>
        </is>
      </c>
      <c r="B1" s="2" t="n"/>
      <c r="C1" s="2" t="n"/>
    </row>
    <row r="2">
      <c r="A2" s="3" t="inlineStr">
        <is>
          <t>Dados fictícios para demonstração. Premissas ilustrativas e editáveis.</t>
        </is>
      </c>
      <c r="B2" s="2" t="n"/>
      <c r="C2" s="2" t="n"/>
    </row>
    <row r="3">
      <c r="A3" s="2" t="n"/>
      <c r="B3" s="2" t="n"/>
      <c r="C3" s="2" t="n"/>
    </row>
    <row r="4">
      <c r="A4" s="4" t="inlineStr">
        <is>
          <t>Campo</t>
        </is>
      </c>
      <c r="B4" s="4" t="inlineStr">
        <is>
          <t>Valor</t>
        </is>
      </c>
      <c r="C4" s="4" t="inlineStr">
        <is>
          <t>Unidade/nota</t>
        </is>
      </c>
    </row>
    <row r="5">
      <c r="A5" s="6" t="inlineStr">
        <is>
          <t>Perfil</t>
        </is>
      </c>
      <c r="B5" s="10" t="inlineStr">
        <is>
          <t>Comercial fictício</t>
        </is>
      </c>
      <c r="C5" s="6" t="inlineStr">
        <is>
          <t>Premissa editavel</t>
        </is>
      </c>
    </row>
    <row r="6">
      <c r="A6" s="6" t="inlineStr">
        <is>
          <t>Estado</t>
        </is>
      </c>
      <c r="B6" s="10" t="inlineStr">
        <is>
          <t>SP</t>
        </is>
      </c>
      <c r="C6" s="6" t="inlineStr">
        <is>
          <t>Premissa editavel</t>
        </is>
      </c>
    </row>
    <row r="7">
      <c r="A7" s="6" t="inlineStr">
        <is>
          <t>Cidade</t>
        </is>
      </c>
      <c r="B7" s="10" t="inlineStr">
        <is>
          <t>Campinas</t>
        </is>
      </c>
      <c r="C7" s="6" t="inlineStr">
        <is>
          <t>Premissa editavel</t>
        </is>
      </c>
    </row>
    <row r="8">
      <c r="A8" s="6" t="inlineStr">
        <is>
          <t>Consumo médio mensal kWh</t>
        </is>
      </c>
      <c r="B8" s="10" t="n">
        <v>4500</v>
      </c>
      <c r="C8" s="6" t="inlineStr">
        <is>
          <t>Premissa editavel</t>
        </is>
      </c>
    </row>
    <row r="9">
      <c r="A9" s="6" t="inlineStr">
        <is>
          <t>Tarifa compensável R$/kWh</t>
        </is>
      </c>
      <c r="B9" s="11" t="n">
        <v>0.95</v>
      </c>
      <c r="C9" s="6" t="inlineStr">
        <is>
          <t>Premissa editavel</t>
        </is>
      </c>
    </row>
    <row r="10">
      <c r="A10" s="6" t="inlineStr">
        <is>
          <t>Potência módulo Wp</t>
        </is>
      </c>
      <c r="B10" s="10" t="n">
        <v>600</v>
      </c>
      <c r="C10" s="6" t="inlineStr">
        <is>
          <t>Premissa editavel</t>
        </is>
      </c>
    </row>
    <row r="11">
      <c r="A11" s="6" t="inlineStr">
        <is>
          <t>Área módulo m2</t>
        </is>
      </c>
      <c r="B11" s="10" t="n">
        <v>2.6</v>
      </c>
      <c r="C11" s="6" t="inlineStr">
        <is>
          <t>Premissa editavel</t>
        </is>
      </c>
    </row>
    <row r="12">
      <c r="A12" s="6" t="inlineStr">
        <is>
          <t>Performance Ratio</t>
        </is>
      </c>
      <c r="B12" s="12" t="n">
        <v>0.8</v>
      </c>
      <c r="C12" s="6" t="inlineStr">
        <is>
          <t>Premissa editavel</t>
        </is>
      </c>
    </row>
    <row r="13">
      <c r="A13" s="6" t="inlineStr">
        <is>
          <t>Inversor kW</t>
        </is>
      </c>
      <c r="B13" s="10" t="n">
        <v>45</v>
      </c>
      <c r="C13" s="6" t="inlineStr">
        <is>
          <t>Premissa editavel</t>
        </is>
      </c>
    </row>
    <row r="14">
      <c r="A14" s="6" t="inlineStr">
        <is>
          <t>Disponibilidade</t>
        </is>
      </c>
      <c r="B14" s="12" t="n">
        <v>0.995</v>
      </c>
      <c r="C14" s="6" t="inlineStr">
        <is>
          <t>Premissa editavel</t>
        </is>
      </c>
    </row>
    <row r="15">
      <c r="A15" s="6" t="inlineStr">
        <is>
          <t>Degradação anual</t>
        </is>
      </c>
      <c r="B15" s="12" t="n">
        <v>0.006</v>
      </c>
      <c r="C15" s="6" t="inlineStr">
        <is>
          <t>Premissa editavel</t>
        </is>
      </c>
    </row>
    <row r="16">
      <c r="A16" s="6" t="inlineStr">
        <is>
          <t>Vida útil anos</t>
        </is>
      </c>
      <c r="B16" s="12" t="n">
        <v>25</v>
      </c>
      <c r="C16" s="6" t="inlineStr">
        <is>
          <t>Premissa editavel</t>
        </is>
      </c>
    </row>
    <row r="17">
      <c r="A17" s="6" t="inlineStr">
        <is>
          <t>CAPEX R$/kWp</t>
        </is>
      </c>
      <c r="B17" s="11" t="n">
        <v>4200</v>
      </c>
      <c r="C17" s="6" t="inlineStr">
        <is>
          <t>Premissa editavel</t>
        </is>
      </c>
    </row>
    <row r="18">
      <c r="A18" s="6" t="inlineStr">
        <is>
          <t>OPEX % CAPEX</t>
        </is>
      </c>
      <c r="B18" s="10" t="n">
        <v>0.012</v>
      </c>
      <c r="C18" s="6" t="inlineStr">
        <is>
          <t>Premissa editavel</t>
        </is>
      </c>
    </row>
    <row r="19">
      <c r="A19" s="6" t="inlineStr">
        <is>
          <t>Reajuste tarifário anual</t>
        </is>
      </c>
      <c r="B19" s="10" t="n">
        <v>0.04</v>
      </c>
      <c r="C19" s="6" t="inlineStr">
        <is>
          <t>Premissa editavel</t>
        </is>
      </c>
    </row>
    <row r="20">
      <c r="A20" s="6" t="inlineStr">
        <is>
          <t>TMA</t>
        </is>
      </c>
      <c r="B20" s="12" t="n">
        <v>0.1</v>
      </c>
      <c r="C20" s="6" t="inlineStr">
        <is>
          <t>Premissa editavel</t>
        </is>
      </c>
    </row>
    <row r="21">
      <c r="A21" s="6" t="inlineStr">
        <is>
          <t>Fator CO2 kg/kWh</t>
        </is>
      </c>
      <c r="B21" s="10" t="n">
        <v>0.0385</v>
      </c>
      <c r="C21" s="6" t="inlineStr">
        <is>
          <t>Premissa editavel</t>
        </is>
      </c>
    </row>
    <row r="22">
      <c r="A22" s="6" t="inlineStr">
        <is>
          <t>Substituição inversor ativa</t>
        </is>
      </c>
      <c r="B22" s="10" t="inlineStr">
        <is>
          <t>Sim</t>
        </is>
      </c>
      <c r="C22" s="6" t="inlineStr">
        <is>
          <t>Premissa editavel</t>
        </is>
      </c>
    </row>
    <row r="23">
      <c r="A23" s="6" t="inlineStr">
        <is>
          <t>Ano substituição</t>
        </is>
      </c>
      <c r="B23" s="10" t="n">
        <v>12</v>
      </c>
      <c r="C23" s="6" t="inlineStr">
        <is>
          <t>Premissa editavel</t>
        </is>
      </c>
    </row>
    <row r="24">
      <c r="A24" s="6" t="inlineStr">
        <is>
          <t>Custo substituição R$</t>
        </is>
      </c>
      <c r="B24" s="11" t="n">
        <v>25000</v>
      </c>
      <c r="C24" s="6" t="inlineStr">
        <is>
          <t>Premissa editavel</t>
        </is>
      </c>
    </row>
  </sheetData>
  <dataValidations count="1">
    <dataValidation sqref="B5" showDropDown="0" showInputMessage="0" showErrorMessage="0" allowBlank="0" type="list">
      <formula1>"Residencial,Comercial,Industrial / pequeno negócio,Personalizado"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Consumo</t>
        </is>
      </c>
      <c r="B1" s="2" t="n"/>
    </row>
    <row r="2">
      <c r="A2" s="3" t="inlineStr">
        <is>
          <t>Dados fictícios para demonstração. Premissas ilustrativas e editáveis.</t>
        </is>
      </c>
      <c r="B2" s="2" t="n"/>
    </row>
    <row r="3">
      <c r="A3" s="2" t="n"/>
      <c r="B3" s="2" t="n"/>
    </row>
    <row r="4">
      <c r="A4" s="4" t="inlineStr">
        <is>
          <t>Mes</t>
        </is>
      </c>
      <c r="B4" s="4" t="inlineStr">
        <is>
          <t>Consumo kWh</t>
        </is>
      </c>
    </row>
    <row r="5">
      <c r="A5" s="6" t="inlineStr">
        <is>
          <t>Janeiro</t>
        </is>
      </c>
      <c r="B5" s="6">
        <f>02_Entradas!$B$8</f>
        <v/>
      </c>
    </row>
    <row r="6">
      <c r="A6" s="6" t="inlineStr">
        <is>
          <t>Fevereiro</t>
        </is>
      </c>
      <c r="B6" s="6">
        <f>02_Entradas!$B$8</f>
        <v/>
      </c>
    </row>
    <row r="7">
      <c r="A7" s="6" t="inlineStr">
        <is>
          <t>Março</t>
        </is>
      </c>
      <c r="B7" s="6">
        <f>02_Entradas!$B$8</f>
        <v/>
      </c>
    </row>
    <row r="8">
      <c r="A8" s="6" t="inlineStr">
        <is>
          <t>Abril</t>
        </is>
      </c>
      <c r="B8" s="6">
        <f>02_Entradas!$B$8</f>
        <v/>
      </c>
    </row>
    <row r="9">
      <c r="A9" s="6" t="inlineStr">
        <is>
          <t>Maio</t>
        </is>
      </c>
      <c r="B9" s="6">
        <f>02_Entradas!$B$8</f>
        <v/>
      </c>
    </row>
    <row r="10">
      <c r="A10" s="6" t="inlineStr">
        <is>
          <t>Junho</t>
        </is>
      </c>
      <c r="B10" s="6">
        <f>02_Entradas!$B$8</f>
        <v/>
      </c>
    </row>
    <row r="11">
      <c r="A11" s="6" t="inlineStr">
        <is>
          <t>Julho</t>
        </is>
      </c>
      <c r="B11" s="6">
        <f>02_Entradas!$B$8</f>
        <v/>
      </c>
    </row>
    <row r="12">
      <c r="A12" s="6" t="inlineStr">
        <is>
          <t>Agosto</t>
        </is>
      </c>
      <c r="B12" s="6">
        <f>02_Entradas!$B$8</f>
        <v/>
      </c>
    </row>
    <row r="13">
      <c r="A13" s="6" t="inlineStr">
        <is>
          <t>Setembro</t>
        </is>
      </c>
      <c r="B13" s="6">
        <f>02_Entradas!$B$8</f>
        <v/>
      </c>
    </row>
    <row r="14">
      <c r="A14" s="6" t="inlineStr">
        <is>
          <t>Outubro</t>
        </is>
      </c>
      <c r="B14" s="6">
        <f>02_Entradas!$B$8</f>
        <v/>
      </c>
    </row>
    <row r="15">
      <c r="A15" s="6" t="inlineStr">
        <is>
          <t>Novembro</t>
        </is>
      </c>
      <c r="B15" s="6">
        <f>02_Entradas!$B$8</f>
        <v/>
      </c>
    </row>
    <row r="16">
      <c r="A16" s="6" t="inlineStr">
        <is>
          <t>Dezembro</t>
        </is>
      </c>
      <c r="B16" s="6">
        <f>02_Entradas!$B$8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Geração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Dados fictícios para demonstração. Premissas ilustrativas e editáveis.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4" t="inlineStr">
        <is>
          <t>Mês</t>
        </is>
      </c>
      <c r="B4" s="4" t="inlineStr">
        <is>
          <t>Dias</t>
        </is>
      </c>
      <c r="C4" s="4" t="inlineStr">
        <is>
          <t>Consumo kWh</t>
        </is>
      </c>
      <c r="D4" s="4" t="inlineStr">
        <is>
          <t>HSP</t>
        </is>
      </c>
      <c r="E4" s="4" t="inlineStr">
        <is>
          <t>Geração kWh</t>
        </is>
      </c>
      <c r="F4" s="4" t="inlineStr">
        <is>
          <t>Déficit/Excedente kWh</t>
        </is>
      </c>
      <c r="G4" s="4" t="inlineStr">
        <is>
          <t>Atendimento</t>
        </is>
      </c>
      <c r="H4" s="2" t="n"/>
      <c r="I4" s="4" t="inlineStr">
        <is>
          <t>Indicador</t>
        </is>
      </c>
      <c r="J4" s="4" t="inlineStr">
        <is>
          <t>Valor</t>
        </is>
      </c>
    </row>
    <row r="5">
      <c r="A5" s="6" t="inlineStr">
        <is>
          <t>Janeiro</t>
        </is>
      </c>
      <c r="B5" s="6" t="n">
        <v>31</v>
      </c>
      <c r="C5" s="6">
        <f>03_Consumo!B5</f>
        <v/>
      </c>
      <c r="D5" s="6" t="n">
        <v>4.8</v>
      </c>
      <c r="E5" s="7">
        <f>$J$5*D5*B5*02_Entradas!$B$12*02_Entradas!$B$13</f>
        <v/>
      </c>
      <c r="F5" s="6">
        <f>E5-C5</f>
        <v/>
      </c>
      <c r="G5" s="9">
        <f>MIN(E5/C5,1)</f>
        <v/>
      </c>
      <c r="H5" s="2" t="n"/>
      <c r="I5" s="6" t="inlineStr">
        <is>
          <t>Potência instalada kWp</t>
        </is>
      </c>
      <c r="J5" s="6">
        <f>CEILING(((02_Entradas!$B$8*12/365)/(AVERAGE(D5:D16)*02_Entradas!$B$12))/(02_Entradas!$B$10/1000),1)*(02_Entradas!$B$10/1000)</f>
        <v/>
      </c>
    </row>
    <row r="6">
      <c r="A6" s="6" t="inlineStr">
        <is>
          <t>Fevereiro</t>
        </is>
      </c>
      <c r="B6" s="6" t="n">
        <v>28</v>
      </c>
      <c r="C6" s="6">
        <f>03_Consumo!B6</f>
        <v/>
      </c>
      <c r="D6" s="6" t="n">
        <v>5</v>
      </c>
      <c r="E6" s="7">
        <f>$J$5*D6*B6*02_Entradas!$B$12*02_Entradas!$B$13</f>
        <v/>
      </c>
      <c r="F6" s="6">
        <f>E6-C6</f>
        <v/>
      </c>
      <c r="G6" s="9">
        <f>MIN(E6/C6,1)</f>
        <v/>
      </c>
      <c r="H6" s="2" t="n"/>
      <c r="I6" s="6" t="inlineStr">
        <is>
          <t>Módulos</t>
        </is>
      </c>
      <c r="J6" s="6">
        <f>J5/(02_Entradas!$B$10/1000)</f>
        <v/>
      </c>
    </row>
    <row r="7">
      <c r="A7" s="6" t="inlineStr">
        <is>
          <t>Março</t>
        </is>
      </c>
      <c r="B7" s="6" t="n">
        <v>31</v>
      </c>
      <c r="C7" s="6">
        <f>03_Consumo!B7</f>
        <v/>
      </c>
      <c r="D7" s="6" t="n">
        <v>5.1</v>
      </c>
      <c r="E7" s="7">
        <f>$J$5*D7*B7*02_Entradas!$B$12*02_Entradas!$B$13</f>
        <v/>
      </c>
      <c r="F7" s="6">
        <f>E7-C7</f>
        <v/>
      </c>
      <c r="G7" s="9">
        <f>MIN(E7/C7,1)</f>
        <v/>
      </c>
      <c r="H7" s="2" t="n"/>
      <c r="I7" s="6" t="inlineStr">
        <is>
          <t>Área m2</t>
        </is>
      </c>
      <c r="J7" s="6">
        <f>J6*02_Entradas!$B$11</f>
        <v/>
      </c>
    </row>
    <row r="8">
      <c r="A8" s="6" t="inlineStr">
        <is>
          <t>Abril</t>
        </is>
      </c>
      <c r="B8" s="6" t="n">
        <v>30</v>
      </c>
      <c r="C8" s="6">
        <f>03_Consumo!B8</f>
        <v/>
      </c>
      <c r="D8" s="6" t="n">
        <v>5</v>
      </c>
      <c r="E8" s="7">
        <f>$J$5*D8*B8*02_Entradas!$B$12*02_Entradas!$B$13</f>
        <v/>
      </c>
      <c r="F8" s="6">
        <f>E8-C8</f>
        <v/>
      </c>
      <c r="G8" s="9">
        <f>MIN(E8/C8,1)</f>
        <v/>
      </c>
      <c r="H8" s="2" t="n"/>
      <c r="I8" s="6" t="inlineStr">
        <is>
          <t>DC/AC</t>
        </is>
      </c>
      <c r="J8" s="6">
        <f>J5/02_Entradas!$B$13</f>
        <v/>
      </c>
    </row>
    <row r="9">
      <c r="A9" s="6" t="inlineStr">
        <is>
          <t>Maio</t>
        </is>
      </c>
      <c r="B9" s="6" t="n">
        <v>31</v>
      </c>
      <c r="C9" s="6">
        <f>03_Consumo!B9</f>
        <v/>
      </c>
      <c r="D9" s="6" t="n">
        <v>4.6</v>
      </c>
      <c r="E9" s="7">
        <f>$J$5*D9*B9*02_Entradas!$B$12*02_Entradas!$B$13</f>
        <v/>
      </c>
      <c r="F9" s="6">
        <f>E9-C9</f>
        <v/>
      </c>
      <c r="G9" s="9">
        <f>MIN(E9/C9,1)</f>
        <v/>
      </c>
      <c r="H9" s="2" t="n"/>
      <c r="I9" s="2" t="n"/>
      <c r="J9" s="2" t="n"/>
    </row>
    <row r="10">
      <c r="A10" s="6" t="inlineStr">
        <is>
          <t>Junho</t>
        </is>
      </c>
      <c r="B10" s="6" t="n">
        <v>30</v>
      </c>
      <c r="C10" s="6">
        <f>03_Consumo!B10</f>
        <v/>
      </c>
      <c r="D10" s="6" t="n">
        <v>4.3</v>
      </c>
      <c r="E10" s="7">
        <f>$J$5*D10*B10*02_Entradas!$B$12*02_Entradas!$B$13</f>
        <v/>
      </c>
      <c r="F10" s="6">
        <f>E10-C10</f>
        <v/>
      </c>
      <c r="G10" s="9">
        <f>MIN(E10/C10,1)</f>
        <v/>
      </c>
      <c r="H10" s="2" t="n"/>
      <c r="I10" s="2" t="n"/>
      <c r="J10" s="2" t="n"/>
    </row>
    <row r="11">
      <c r="A11" s="6" t="inlineStr">
        <is>
          <t>Julho</t>
        </is>
      </c>
      <c r="B11" s="6" t="n">
        <v>31</v>
      </c>
      <c r="C11" s="6">
        <f>03_Consumo!B11</f>
        <v/>
      </c>
      <c r="D11" s="6" t="n">
        <v>4.5</v>
      </c>
      <c r="E11" s="7">
        <f>$J$5*D11*B11*02_Entradas!$B$12*02_Entradas!$B$13</f>
        <v/>
      </c>
      <c r="F11" s="6">
        <f>E11-C11</f>
        <v/>
      </c>
      <c r="G11" s="9">
        <f>MIN(E11/C11,1)</f>
        <v/>
      </c>
      <c r="H11" s="2" t="n"/>
      <c r="I11" s="2" t="n"/>
      <c r="J11" s="2" t="n"/>
    </row>
    <row r="12">
      <c r="A12" s="6" t="inlineStr">
        <is>
          <t>Agosto</t>
        </is>
      </c>
      <c r="B12" s="6" t="n">
        <v>31</v>
      </c>
      <c r="C12" s="6">
        <f>03_Consumo!B12</f>
        <v/>
      </c>
      <c r="D12" s="6" t="n">
        <v>4.9</v>
      </c>
      <c r="E12" s="7">
        <f>$J$5*D12*B12*02_Entradas!$B$12*02_Entradas!$B$13</f>
        <v/>
      </c>
      <c r="F12" s="6">
        <f>E12-C12</f>
        <v/>
      </c>
      <c r="G12" s="9">
        <f>MIN(E12/C12,1)</f>
        <v/>
      </c>
      <c r="H12" s="2" t="n"/>
      <c r="I12" s="2" t="n"/>
      <c r="J12" s="2" t="n"/>
    </row>
    <row r="13">
      <c r="A13" s="6" t="inlineStr">
        <is>
          <t>Setembro</t>
        </is>
      </c>
      <c r="B13" s="6" t="n">
        <v>30</v>
      </c>
      <c r="C13" s="6">
        <f>03_Consumo!B13</f>
        <v/>
      </c>
      <c r="D13" s="6" t="n">
        <v>5</v>
      </c>
      <c r="E13" s="7">
        <f>$J$5*D13*B13*02_Entradas!$B$12*02_Entradas!$B$13</f>
        <v/>
      </c>
      <c r="F13" s="6">
        <f>E13-C13</f>
        <v/>
      </c>
      <c r="G13" s="9">
        <f>MIN(E13/C13,1)</f>
        <v/>
      </c>
      <c r="H13" s="2" t="n"/>
      <c r="I13" s="2" t="n"/>
      <c r="J13" s="2" t="n"/>
    </row>
    <row r="14">
      <c r="A14" s="6" t="inlineStr">
        <is>
          <t>Outubro</t>
        </is>
      </c>
      <c r="B14" s="6" t="n">
        <v>31</v>
      </c>
      <c r="C14" s="6">
        <f>03_Consumo!B14</f>
        <v/>
      </c>
      <c r="D14" s="6" t="n">
        <v>5.2</v>
      </c>
      <c r="E14" s="7">
        <f>$J$5*D14*B14*02_Entradas!$B$12*02_Entradas!$B$13</f>
        <v/>
      </c>
      <c r="F14" s="6">
        <f>E14-C14</f>
        <v/>
      </c>
      <c r="G14" s="9">
        <f>MIN(E14/C14,1)</f>
        <v/>
      </c>
      <c r="H14" s="2" t="n"/>
      <c r="I14" s="2" t="n"/>
      <c r="J14" s="2" t="n"/>
    </row>
    <row r="15">
      <c r="A15" s="6" t="inlineStr">
        <is>
          <t>Novembro</t>
        </is>
      </c>
      <c r="B15" s="6" t="n">
        <v>30</v>
      </c>
      <c r="C15" s="6">
        <f>03_Consumo!B15</f>
        <v/>
      </c>
      <c r="D15" s="6" t="n">
        <v>5.1</v>
      </c>
      <c r="E15" s="7">
        <f>$J$5*D15*B15*02_Entradas!$B$12*02_Entradas!$B$13</f>
        <v/>
      </c>
      <c r="F15" s="6">
        <f>E15-C15</f>
        <v/>
      </c>
      <c r="G15" s="9">
        <f>MIN(E15/C15,1)</f>
        <v/>
      </c>
      <c r="H15" s="2" t="n"/>
      <c r="I15" s="2" t="n"/>
      <c r="J15" s="2" t="n"/>
    </row>
    <row r="16">
      <c r="A16" s="6" t="inlineStr">
        <is>
          <t>Dezembro</t>
        </is>
      </c>
      <c r="B16" s="6" t="n">
        <v>31</v>
      </c>
      <c r="C16" s="6">
        <f>03_Consumo!B16</f>
        <v/>
      </c>
      <c r="D16" s="6" t="n">
        <v>4.9</v>
      </c>
      <c r="E16" s="7">
        <f>$J$5*D16*B16*02_Entradas!$B$12*02_Entradas!$B$13</f>
        <v/>
      </c>
      <c r="F16" s="6">
        <f>E16-C16</f>
        <v/>
      </c>
      <c r="G16" s="9">
        <f>MIN(E16/C16,1)</f>
        <v/>
      </c>
      <c r="H16" s="2" t="n"/>
      <c r="I16" s="2" t="n"/>
      <c r="J16" s="2" t="n"/>
    </row>
  </sheetData>
  <conditionalFormatting sqref="F5:F16">
    <cfRule type="cellIs" priority="1" operator="lessThan" dxfId="0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Custos</t>
        </is>
      </c>
      <c r="B1" s="2" t="n"/>
      <c r="C1" s="2" t="n"/>
    </row>
    <row r="2">
      <c r="A2" s="3" t="inlineStr">
        <is>
          <t>Dados fictícios para demonstração. Premissas ilustrativas e editáveis.</t>
        </is>
      </c>
      <c r="B2" s="2" t="n"/>
      <c r="C2" s="2" t="n"/>
    </row>
    <row r="3">
      <c r="A3" s="2" t="n"/>
      <c r="B3" s="2" t="n"/>
      <c r="C3" s="2" t="n"/>
    </row>
    <row r="4">
      <c r="A4" s="4" t="inlineStr">
        <is>
          <t>Item</t>
        </is>
      </c>
      <c r="B4" s="4" t="inlineStr">
        <is>
          <t>Valor</t>
        </is>
      </c>
      <c r="C4" s="4" t="inlineStr">
        <is>
          <t>Nota</t>
        </is>
      </c>
    </row>
    <row r="5">
      <c r="A5" s="6" t="inlineStr">
        <is>
          <t>CAPEX total</t>
        </is>
      </c>
      <c r="B5" s="8">
        <f>04_Geração!J5*02_Entradas!$B$17</f>
        <v/>
      </c>
      <c r="C5" s="6" t="inlineStr">
        <is>
          <t>Instalado kWp x R$/kWp</t>
        </is>
      </c>
    </row>
    <row r="6">
      <c r="A6" s="6" t="inlineStr">
        <is>
          <t>CAPEX R$/kWp</t>
        </is>
      </c>
      <c r="B6" s="8">
        <f>02_Entradas!$B$17</f>
        <v/>
      </c>
      <c r="C6" s="6" t="inlineStr">
        <is>
          <t>Premissa</t>
        </is>
      </c>
    </row>
    <row r="7">
      <c r="A7" s="6" t="inlineStr">
        <is>
          <t>OPEX anual</t>
        </is>
      </c>
      <c r="B7" s="8">
        <f>B5*02_Entradas!$B$18</f>
        <v/>
      </c>
      <c r="C7" s="6" t="inlineStr">
        <is>
          <t>Percentual do CAPEX</t>
        </is>
      </c>
    </row>
    <row r="8">
      <c r="A8" s="6" t="inlineStr">
        <is>
          <t>Substituição inversor</t>
        </is>
      </c>
      <c r="B8" s="8">
        <f>IF(02_Entradas!$B$22="Sim",02_Entradas!$B$24,0)</f>
        <v/>
      </c>
      <c r="C8" s="6" t="inlineStr">
        <is>
          <t>Evento opcional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Fluxo de Caixa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3" t="inlineStr">
        <is>
          <t>Dados fictícios para demonstração. Premissas ilustrativas e editáveis.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</row>
    <row r="4">
      <c r="A4" s="4" t="inlineStr">
        <is>
          <t>Ano</t>
        </is>
      </c>
      <c r="B4" s="4" t="inlineStr">
        <is>
          <t>Geração kWh</t>
        </is>
      </c>
      <c r="C4" s="4" t="inlineStr">
        <is>
          <t>Tarifa R$/kWh</t>
        </is>
      </c>
      <c r="D4" s="4" t="inlineStr">
        <is>
          <t>Economia bruta</t>
        </is>
      </c>
      <c r="E4" s="4" t="inlineStr">
        <is>
          <t>OPEX</t>
        </is>
      </c>
      <c r="F4" s="4" t="inlineStr">
        <is>
          <t>Custos extraordinários</t>
        </is>
      </c>
      <c r="G4" s="4" t="inlineStr">
        <is>
          <t>Economia líquida</t>
        </is>
      </c>
      <c r="H4" s="4" t="inlineStr">
        <is>
          <t>Fluxo de caixa</t>
        </is>
      </c>
      <c r="I4" s="4" t="inlineStr">
        <is>
          <t>Fluxo acumulado</t>
        </is>
      </c>
      <c r="J4" s="4" t="inlineStr">
        <is>
          <t>Fator desconto</t>
        </is>
      </c>
      <c r="K4" s="4" t="inlineStr">
        <is>
          <t>Fluxo descontado</t>
        </is>
      </c>
      <c r="L4" s="4" t="inlineStr">
        <is>
          <t>Fluxo descontado acumulado</t>
        </is>
      </c>
    </row>
    <row r="5">
      <c r="A5" s="6" t="n">
        <v>0</v>
      </c>
      <c r="B5" s="6" t="n">
        <v>0</v>
      </c>
      <c r="C5" s="6">
        <f>02_Entradas!$B$9</f>
        <v/>
      </c>
      <c r="D5" s="8" t="n">
        <v>0</v>
      </c>
      <c r="E5" s="8" t="n">
        <v>0</v>
      </c>
      <c r="F5" s="8" t="n">
        <v>0</v>
      </c>
      <c r="G5" s="8" t="n">
        <v>0</v>
      </c>
      <c r="H5" s="8">
        <f>-05_Custos!$B$5</f>
        <v/>
      </c>
      <c r="I5" s="8">
        <f>-05_Custos!$B$5</f>
        <v/>
      </c>
      <c r="J5" s="9" t="n">
        <v>1</v>
      </c>
      <c r="K5" s="8">
        <f>-05_Custos!$B$5</f>
        <v/>
      </c>
      <c r="L5" s="8">
        <f>-05_Custos!$B$5</f>
        <v/>
      </c>
    </row>
    <row r="6">
      <c r="A6" s="6" t="n">
        <v>1</v>
      </c>
      <c r="B6" s="6">
        <f>SUM(04_Geração!$E$5:$E$16)*(1-02_Entradas!$B$14)^(A6-1)</f>
        <v/>
      </c>
      <c r="C6" s="6">
        <f>02_Entradas!$B$9*(1+02_Entradas!$B$19)^(A6-1)</f>
        <v/>
      </c>
      <c r="D6" s="8">
        <f>B6*C6</f>
        <v/>
      </c>
      <c r="E6" s="8">
        <f>05_Custos!$B$7</f>
        <v/>
      </c>
      <c r="F6" s="8">
        <f>IF(A6=02_Entradas!$B$23,05_Custos!$B$8,0)</f>
        <v/>
      </c>
      <c r="G6" s="8">
        <f>D6-E6-F6</f>
        <v/>
      </c>
      <c r="H6" s="8">
        <f>G6</f>
        <v/>
      </c>
      <c r="I6" s="8">
        <f>H6+I5</f>
        <v/>
      </c>
      <c r="J6" s="9">
        <f>1/(1+02_Entradas!$B$20)^A6</f>
        <v/>
      </c>
      <c r="K6" s="8">
        <f>H6*J6</f>
        <v/>
      </c>
      <c r="L6" s="8">
        <f>K6+L5</f>
        <v/>
      </c>
    </row>
    <row r="7">
      <c r="A7" s="6" t="n">
        <v>2</v>
      </c>
      <c r="B7" s="6">
        <f>SUM(04_Geração!$E$5:$E$16)*(1-02_Entradas!$B$14)^(A7-1)</f>
        <v/>
      </c>
      <c r="C7" s="6">
        <f>02_Entradas!$B$9*(1+02_Entradas!$B$19)^(A7-1)</f>
        <v/>
      </c>
      <c r="D7" s="8">
        <f>B7*C7</f>
        <v/>
      </c>
      <c r="E7" s="8">
        <f>05_Custos!$B$7</f>
        <v/>
      </c>
      <c r="F7" s="8">
        <f>IF(A7=02_Entradas!$B$23,05_Custos!$B$8,0)</f>
        <v/>
      </c>
      <c r="G7" s="8">
        <f>D7-E7-F7</f>
        <v/>
      </c>
      <c r="H7" s="8">
        <f>G7</f>
        <v/>
      </c>
      <c r="I7" s="8">
        <f>H7+I6</f>
        <v/>
      </c>
      <c r="J7" s="9">
        <f>1/(1+02_Entradas!$B$20)^A7</f>
        <v/>
      </c>
      <c r="K7" s="8">
        <f>H7*J7</f>
        <v/>
      </c>
      <c r="L7" s="8">
        <f>K7+L6</f>
        <v/>
      </c>
    </row>
    <row r="8">
      <c r="A8" s="6" t="n">
        <v>3</v>
      </c>
      <c r="B8" s="6">
        <f>SUM(04_Geração!$E$5:$E$16)*(1-02_Entradas!$B$14)^(A8-1)</f>
        <v/>
      </c>
      <c r="C8" s="6">
        <f>02_Entradas!$B$9*(1+02_Entradas!$B$19)^(A8-1)</f>
        <v/>
      </c>
      <c r="D8" s="8">
        <f>B8*C8</f>
        <v/>
      </c>
      <c r="E8" s="8">
        <f>05_Custos!$B$7</f>
        <v/>
      </c>
      <c r="F8" s="8">
        <f>IF(A8=02_Entradas!$B$23,05_Custos!$B$8,0)</f>
        <v/>
      </c>
      <c r="G8" s="8">
        <f>D8-E8-F8</f>
        <v/>
      </c>
      <c r="H8" s="8">
        <f>G8</f>
        <v/>
      </c>
      <c r="I8" s="8">
        <f>H8+I7</f>
        <v/>
      </c>
      <c r="J8" s="9">
        <f>1/(1+02_Entradas!$B$20)^A8</f>
        <v/>
      </c>
      <c r="K8" s="8">
        <f>H8*J8</f>
        <v/>
      </c>
      <c r="L8" s="8">
        <f>K8+L7</f>
        <v/>
      </c>
    </row>
    <row r="9">
      <c r="A9" s="6" t="n">
        <v>4</v>
      </c>
      <c r="B9" s="6">
        <f>SUM(04_Geração!$E$5:$E$16)*(1-02_Entradas!$B$14)^(A9-1)</f>
        <v/>
      </c>
      <c r="C9" s="6">
        <f>02_Entradas!$B$9*(1+02_Entradas!$B$19)^(A9-1)</f>
        <v/>
      </c>
      <c r="D9" s="8">
        <f>B9*C9</f>
        <v/>
      </c>
      <c r="E9" s="8">
        <f>05_Custos!$B$7</f>
        <v/>
      </c>
      <c r="F9" s="8">
        <f>IF(A9=02_Entradas!$B$23,05_Custos!$B$8,0)</f>
        <v/>
      </c>
      <c r="G9" s="8">
        <f>D9-E9-F9</f>
        <v/>
      </c>
      <c r="H9" s="8">
        <f>G9</f>
        <v/>
      </c>
      <c r="I9" s="8">
        <f>H9+I8</f>
        <v/>
      </c>
      <c r="J9" s="9">
        <f>1/(1+02_Entradas!$B$20)^A9</f>
        <v/>
      </c>
      <c r="K9" s="8">
        <f>H9*J9</f>
        <v/>
      </c>
      <c r="L9" s="8">
        <f>K9+L8</f>
        <v/>
      </c>
    </row>
    <row r="10">
      <c r="A10" s="6" t="n">
        <v>5</v>
      </c>
      <c r="B10" s="6">
        <f>SUM(04_Geração!$E$5:$E$16)*(1-02_Entradas!$B$14)^(A10-1)</f>
        <v/>
      </c>
      <c r="C10" s="6">
        <f>02_Entradas!$B$9*(1+02_Entradas!$B$19)^(A10-1)</f>
        <v/>
      </c>
      <c r="D10" s="8">
        <f>B10*C10</f>
        <v/>
      </c>
      <c r="E10" s="8">
        <f>05_Custos!$B$7</f>
        <v/>
      </c>
      <c r="F10" s="8">
        <f>IF(A10=02_Entradas!$B$23,05_Custos!$B$8,0)</f>
        <v/>
      </c>
      <c r="G10" s="8">
        <f>D10-E10-F10</f>
        <v/>
      </c>
      <c r="H10" s="8">
        <f>G10</f>
        <v/>
      </c>
      <c r="I10" s="8">
        <f>H10+I9</f>
        <v/>
      </c>
      <c r="J10" s="9">
        <f>1/(1+02_Entradas!$B$20)^A10</f>
        <v/>
      </c>
      <c r="K10" s="8">
        <f>H10*J10</f>
        <v/>
      </c>
      <c r="L10" s="8">
        <f>K10+L9</f>
        <v/>
      </c>
    </row>
    <row r="11">
      <c r="A11" s="6" t="n">
        <v>6</v>
      </c>
      <c r="B11" s="6">
        <f>SUM(04_Geração!$E$5:$E$16)*(1-02_Entradas!$B$14)^(A11-1)</f>
        <v/>
      </c>
      <c r="C11" s="6">
        <f>02_Entradas!$B$9*(1+02_Entradas!$B$19)^(A11-1)</f>
        <v/>
      </c>
      <c r="D11" s="8">
        <f>B11*C11</f>
        <v/>
      </c>
      <c r="E11" s="8">
        <f>05_Custos!$B$7</f>
        <v/>
      </c>
      <c r="F11" s="8">
        <f>IF(A11=02_Entradas!$B$23,05_Custos!$B$8,0)</f>
        <v/>
      </c>
      <c r="G11" s="8">
        <f>D11-E11-F11</f>
        <v/>
      </c>
      <c r="H11" s="8">
        <f>G11</f>
        <v/>
      </c>
      <c r="I11" s="8">
        <f>H11+I10</f>
        <v/>
      </c>
      <c r="J11" s="9">
        <f>1/(1+02_Entradas!$B$20)^A11</f>
        <v/>
      </c>
      <c r="K11" s="8">
        <f>H11*J11</f>
        <v/>
      </c>
      <c r="L11" s="8">
        <f>K11+L10</f>
        <v/>
      </c>
    </row>
    <row r="12">
      <c r="A12" s="6" t="n">
        <v>7</v>
      </c>
      <c r="B12" s="6">
        <f>SUM(04_Geração!$E$5:$E$16)*(1-02_Entradas!$B$14)^(A12-1)</f>
        <v/>
      </c>
      <c r="C12" s="6">
        <f>02_Entradas!$B$9*(1+02_Entradas!$B$19)^(A12-1)</f>
        <v/>
      </c>
      <c r="D12" s="8">
        <f>B12*C12</f>
        <v/>
      </c>
      <c r="E12" s="8">
        <f>05_Custos!$B$7</f>
        <v/>
      </c>
      <c r="F12" s="8">
        <f>IF(A12=02_Entradas!$B$23,05_Custos!$B$8,0)</f>
        <v/>
      </c>
      <c r="G12" s="8">
        <f>D12-E12-F12</f>
        <v/>
      </c>
      <c r="H12" s="8">
        <f>G12</f>
        <v/>
      </c>
      <c r="I12" s="8">
        <f>H12+I11</f>
        <v/>
      </c>
      <c r="J12" s="9">
        <f>1/(1+02_Entradas!$B$20)^A12</f>
        <v/>
      </c>
      <c r="K12" s="8">
        <f>H12*J12</f>
        <v/>
      </c>
      <c r="L12" s="8">
        <f>K12+L11</f>
        <v/>
      </c>
    </row>
    <row r="13">
      <c r="A13" s="6" t="n">
        <v>8</v>
      </c>
      <c r="B13" s="6">
        <f>SUM(04_Geração!$E$5:$E$16)*(1-02_Entradas!$B$14)^(A13-1)</f>
        <v/>
      </c>
      <c r="C13" s="6">
        <f>02_Entradas!$B$9*(1+02_Entradas!$B$19)^(A13-1)</f>
        <v/>
      </c>
      <c r="D13" s="8">
        <f>B13*C13</f>
        <v/>
      </c>
      <c r="E13" s="8">
        <f>05_Custos!$B$7</f>
        <v/>
      </c>
      <c r="F13" s="8">
        <f>IF(A13=02_Entradas!$B$23,05_Custos!$B$8,0)</f>
        <v/>
      </c>
      <c r="G13" s="8">
        <f>D13-E13-F13</f>
        <v/>
      </c>
      <c r="H13" s="8">
        <f>G13</f>
        <v/>
      </c>
      <c r="I13" s="8">
        <f>H13+I12</f>
        <v/>
      </c>
      <c r="J13" s="9">
        <f>1/(1+02_Entradas!$B$20)^A13</f>
        <v/>
      </c>
      <c r="K13" s="8">
        <f>H13*J13</f>
        <v/>
      </c>
      <c r="L13" s="8">
        <f>K13+L12</f>
        <v/>
      </c>
    </row>
    <row r="14">
      <c r="A14" s="6" t="n">
        <v>9</v>
      </c>
      <c r="B14" s="6">
        <f>SUM(04_Geração!$E$5:$E$16)*(1-02_Entradas!$B$14)^(A14-1)</f>
        <v/>
      </c>
      <c r="C14" s="6">
        <f>02_Entradas!$B$9*(1+02_Entradas!$B$19)^(A14-1)</f>
        <v/>
      </c>
      <c r="D14" s="8">
        <f>B14*C14</f>
        <v/>
      </c>
      <c r="E14" s="8">
        <f>05_Custos!$B$7</f>
        <v/>
      </c>
      <c r="F14" s="8">
        <f>IF(A14=02_Entradas!$B$23,05_Custos!$B$8,0)</f>
        <v/>
      </c>
      <c r="G14" s="8">
        <f>D14-E14-F14</f>
        <v/>
      </c>
      <c r="H14" s="8">
        <f>G14</f>
        <v/>
      </c>
      <c r="I14" s="8">
        <f>H14+I13</f>
        <v/>
      </c>
      <c r="J14" s="9">
        <f>1/(1+02_Entradas!$B$20)^A14</f>
        <v/>
      </c>
      <c r="K14" s="8">
        <f>H14*J14</f>
        <v/>
      </c>
      <c r="L14" s="8">
        <f>K14+L13</f>
        <v/>
      </c>
    </row>
    <row r="15">
      <c r="A15" s="6" t="n">
        <v>10</v>
      </c>
      <c r="B15" s="6">
        <f>SUM(04_Geração!$E$5:$E$16)*(1-02_Entradas!$B$14)^(A15-1)</f>
        <v/>
      </c>
      <c r="C15" s="6">
        <f>02_Entradas!$B$9*(1+02_Entradas!$B$19)^(A15-1)</f>
        <v/>
      </c>
      <c r="D15" s="8">
        <f>B15*C15</f>
        <v/>
      </c>
      <c r="E15" s="8">
        <f>05_Custos!$B$7</f>
        <v/>
      </c>
      <c r="F15" s="8">
        <f>IF(A15=02_Entradas!$B$23,05_Custos!$B$8,0)</f>
        <v/>
      </c>
      <c r="G15" s="8">
        <f>D15-E15-F15</f>
        <v/>
      </c>
      <c r="H15" s="8">
        <f>G15</f>
        <v/>
      </c>
      <c r="I15" s="8">
        <f>H15+I14</f>
        <v/>
      </c>
      <c r="J15" s="9">
        <f>1/(1+02_Entradas!$B$20)^A15</f>
        <v/>
      </c>
      <c r="K15" s="8">
        <f>H15*J15</f>
        <v/>
      </c>
      <c r="L15" s="8">
        <f>K15+L14</f>
        <v/>
      </c>
    </row>
    <row r="16">
      <c r="A16" s="6" t="n">
        <v>11</v>
      </c>
      <c r="B16" s="6">
        <f>SUM(04_Geração!$E$5:$E$16)*(1-02_Entradas!$B$14)^(A16-1)</f>
        <v/>
      </c>
      <c r="C16" s="6">
        <f>02_Entradas!$B$9*(1+02_Entradas!$B$19)^(A16-1)</f>
        <v/>
      </c>
      <c r="D16" s="8">
        <f>B16*C16</f>
        <v/>
      </c>
      <c r="E16" s="8">
        <f>05_Custos!$B$7</f>
        <v/>
      </c>
      <c r="F16" s="8">
        <f>IF(A16=02_Entradas!$B$23,05_Custos!$B$8,0)</f>
        <v/>
      </c>
      <c r="G16" s="8">
        <f>D16-E16-F16</f>
        <v/>
      </c>
      <c r="H16" s="8">
        <f>G16</f>
        <v/>
      </c>
      <c r="I16" s="8">
        <f>H16+I15</f>
        <v/>
      </c>
      <c r="J16" s="9">
        <f>1/(1+02_Entradas!$B$20)^A16</f>
        <v/>
      </c>
      <c r="K16" s="8">
        <f>H16*J16</f>
        <v/>
      </c>
      <c r="L16" s="8">
        <f>K16+L15</f>
        <v/>
      </c>
    </row>
    <row r="17">
      <c r="A17" s="6" t="n">
        <v>12</v>
      </c>
      <c r="B17" s="6">
        <f>SUM(04_Geração!$E$5:$E$16)*(1-02_Entradas!$B$14)^(A17-1)</f>
        <v/>
      </c>
      <c r="C17" s="6">
        <f>02_Entradas!$B$9*(1+02_Entradas!$B$19)^(A17-1)</f>
        <v/>
      </c>
      <c r="D17" s="8">
        <f>B17*C17</f>
        <v/>
      </c>
      <c r="E17" s="8">
        <f>05_Custos!$B$7</f>
        <v/>
      </c>
      <c r="F17" s="8">
        <f>IF(A17=02_Entradas!$B$23,05_Custos!$B$8,0)</f>
        <v/>
      </c>
      <c r="G17" s="8">
        <f>D17-E17-F17</f>
        <v/>
      </c>
      <c r="H17" s="8">
        <f>G17</f>
        <v/>
      </c>
      <c r="I17" s="8">
        <f>H17+I16</f>
        <v/>
      </c>
      <c r="J17" s="9">
        <f>1/(1+02_Entradas!$B$20)^A17</f>
        <v/>
      </c>
      <c r="K17" s="8">
        <f>H17*J17</f>
        <v/>
      </c>
      <c r="L17" s="8">
        <f>K17+L16</f>
        <v/>
      </c>
    </row>
    <row r="18">
      <c r="A18" s="6" t="n">
        <v>13</v>
      </c>
      <c r="B18" s="6">
        <f>SUM(04_Geração!$E$5:$E$16)*(1-02_Entradas!$B$14)^(A18-1)</f>
        <v/>
      </c>
      <c r="C18" s="6">
        <f>02_Entradas!$B$9*(1+02_Entradas!$B$19)^(A18-1)</f>
        <v/>
      </c>
      <c r="D18" s="8">
        <f>B18*C18</f>
        <v/>
      </c>
      <c r="E18" s="8">
        <f>05_Custos!$B$7</f>
        <v/>
      </c>
      <c r="F18" s="8">
        <f>IF(A18=02_Entradas!$B$23,05_Custos!$B$8,0)</f>
        <v/>
      </c>
      <c r="G18" s="8">
        <f>D18-E18-F18</f>
        <v/>
      </c>
      <c r="H18" s="8">
        <f>G18</f>
        <v/>
      </c>
      <c r="I18" s="8">
        <f>H18+I17</f>
        <v/>
      </c>
      <c r="J18" s="9">
        <f>1/(1+02_Entradas!$B$20)^A18</f>
        <v/>
      </c>
      <c r="K18" s="8">
        <f>H18*J18</f>
        <v/>
      </c>
      <c r="L18" s="8">
        <f>K18+L17</f>
        <v/>
      </c>
    </row>
    <row r="19">
      <c r="A19" s="6" t="n">
        <v>14</v>
      </c>
      <c r="B19" s="6">
        <f>SUM(04_Geração!$E$5:$E$16)*(1-02_Entradas!$B$14)^(A19-1)</f>
        <v/>
      </c>
      <c r="C19" s="6">
        <f>02_Entradas!$B$9*(1+02_Entradas!$B$19)^(A19-1)</f>
        <v/>
      </c>
      <c r="D19" s="8">
        <f>B19*C19</f>
        <v/>
      </c>
      <c r="E19" s="8">
        <f>05_Custos!$B$7</f>
        <v/>
      </c>
      <c r="F19" s="8">
        <f>IF(A19=02_Entradas!$B$23,05_Custos!$B$8,0)</f>
        <v/>
      </c>
      <c r="G19" s="8">
        <f>D19-E19-F19</f>
        <v/>
      </c>
      <c r="H19" s="8">
        <f>G19</f>
        <v/>
      </c>
      <c r="I19" s="8">
        <f>H19+I18</f>
        <v/>
      </c>
      <c r="J19" s="9">
        <f>1/(1+02_Entradas!$B$20)^A19</f>
        <v/>
      </c>
      <c r="K19" s="8">
        <f>H19*J19</f>
        <v/>
      </c>
      <c r="L19" s="8">
        <f>K19+L18</f>
        <v/>
      </c>
    </row>
    <row r="20">
      <c r="A20" s="6" t="n">
        <v>15</v>
      </c>
      <c r="B20" s="6">
        <f>SUM(04_Geração!$E$5:$E$16)*(1-02_Entradas!$B$14)^(A20-1)</f>
        <v/>
      </c>
      <c r="C20" s="6">
        <f>02_Entradas!$B$9*(1+02_Entradas!$B$19)^(A20-1)</f>
        <v/>
      </c>
      <c r="D20" s="8">
        <f>B20*C20</f>
        <v/>
      </c>
      <c r="E20" s="8">
        <f>05_Custos!$B$7</f>
        <v/>
      </c>
      <c r="F20" s="8">
        <f>IF(A20=02_Entradas!$B$23,05_Custos!$B$8,0)</f>
        <v/>
      </c>
      <c r="G20" s="8">
        <f>D20-E20-F20</f>
        <v/>
      </c>
      <c r="H20" s="8">
        <f>G20</f>
        <v/>
      </c>
      <c r="I20" s="8">
        <f>H20+I19</f>
        <v/>
      </c>
      <c r="J20" s="9">
        <f>1/(1+02_Entradas!$B$20)^A20</f>
        <v/>
      </c>
      <c r="K20" s="8">
        <f>H20*J20</f>
        <v/>
      </c>
      <c r="L20" s="8">
        <f>K20+L19</f>
        <v/>
      </c>
    </row>
    <row r="21">
      <c r="A21" s="6" t="n">
        <v>16</v>
      </c>
      <c r="B21" s="6">
        <f>SUM(04_Geração!$E$5:$E$16)*(1-02_Entradas!$B$14)^(A21-1)</f>
        <v/>
      </c>
      <c r="C21" s="6">
        <f>02_Entradas!$B$9*(1+02_Entradas!$B$19)^(A21-1)</f>
        <v/>
      </c>
      <c r="D21" s="8">
        <f>B21*C21</f>
        <v/>
      </c>
      <c r="E21" s="8">
        <f>05_Custos!$B$7</f>
        <v/>
      </c>
      <c r="F21" s="8">
        <f>IF(A21=02_Entradas!$B$23,05_Custos!$B$8,0)</f>
        <v/>
      </c>
      <c r="G21" s="8">
        <f>D21-E21-F21</f>
        <v/>
      </c>
      <c r="H21" s="8">
        <f>G21</f>
        <v/>
      </c>
      <c r="I21" s="8">
        <f>H21+I20</f>
        <v/>
      </c>
      <c r="J21" s="9">
        <f>1/(1+02_Entradas!$B$20)^A21</f>
        <v/>
      </c>
      <c r="K21" s="8">
        <f>H21*J21</f>
        <v/>
      </c>
      <c r="L21" s="8">
        <f>K21+L20</f>
        <v/>
      </c>
    </row>
    <row r="22">
      <c r="A22" s="6" t="n">
        <v>17</v>
      </c>
      <c r="B22" s="6">
        <f>SUM(04_Geração!$E$5:$E$16)*(1-02_Entradas!$B$14)^(A22-1)</f>
        <v/>
      </c>
      <c r="C22" s="6">
        <f>02_Entradas!$B$9*(1+02_Entradas!$B$19)^(A22-1)</f>
        <v/>
      </c>
      <c r="D22" s="8">
        <f>B22*C22</f>
        <v/>
      </c>
      <c r="E22" s="8">
        <f>05_Custos!$B$7</f>
        <v/>
      </c>
      <c r="F22" s="8">
        <f>IF(A22=02_Entradas!$B$23,05_Custos!$B$8,0)</f>
        <v/>
      </c>
      <c r="G22" s="8">
        <f>D22-E22-F22</f>
        <v/>
      </c>
      <c r="H22" s="8">
        <f>G22</f>
        <v/>
      </c>
      <c r="I22" s="8">
        <f>H22+I21</f>
        <v/>
      </c>
      <c r="J22" s="9">
        <f>1/(1+02_Entradas!$B$20)^A22</f>
        <v/>
      </c>
      <c r="K22" s="8">
        <f>H22*J22</f>
        <v/>
      </c>
      <c r="L22" s="8">
        <f>K22+L21</f>
        <v/>
      </c>
    </row>
    <row r="23">
      <c r="A23" s="6" t="n">
        <v>18</v>
      </c>
      <c r="B23" s="6">
        <f>SUM(04_Geração!$E$5:$E$16)*(1-02_Entradas!$B$14)^(A23-1)</f>
        <v/>
      </c>
      <c r="C23" s="6">
        <f>02_Entradas!$B$9*(1+02_Entradas!$B$19)^(A23-1)</f>
        <v/>
      </c>
      <c r="D23" s="8">
        <f>B23*C23</f>
        <v/>
      </c>
      <c r="E23" s="8">
        <f>05_Custos!$B$7</f>
        <v/>
      </c>
      <c r="F23" s="8">
        <f>IF(A23=02_Entradas!$B$23,05_Custos!$B$8,0)</f>
        <v/>
      </c>
      <c r="G23" s="8">
        <f>D23-E23-F23</f>
        <v/>
      </c>
      <c r="H23" s="8">
        <f>G23</f>
        <v/>
      </c>
      <c r="I23" s="8">
        <f>H23+I22</f>
        <v/>
      </c>
      <c r="J23" s="9">
        <f>1/(1+02_Entradas!$B$20)^A23</f>
        <v/>
      </c>
      <c r="K23" s="8">
        <f>H23*J23</f>
        <v/>
      </c>
      <c r="L23" s="8">
        <f>K23+L22</f>
        <v/>
      </c>
    </row>
    <row r="24">
      <c r="A24" s="6" t="n">
        <v>19</v>
      </c>
      <c r="B24" s="6">
        <f>SUM(04_Geração!$E$5:$E$16)*(1-02_Entradas!$B$14)^(A24-1)</f>
        <v/>
      </c>
      <c r="C24" s="6">
        <f>02_Entradas!$B$9*(1+02_Entradas!$B$19)^(A24-1)</f>
        <v/>
      </c>
      <c r="D24" s="8">
        <f>B24*C24</f>
        <v/>
      </c>
      <c r="E24" s="8">
        <f>05_Custos!$B$7</f>
        <v/>
      </c>
      <c r="F24" s="8">
        <f>IF(A24=02_Entradas!$B$23,05_Custos!$B$8,0)</f>
        <v/>
      </c>
      <c r="G24" s="8">
        <f>D24-E24-F24</f>
        <v/>
      </c>
      <c r="H24" s="8">
        <f>G24</f>
        <v/>
      </c>
      <c r="I24" s="8">
        <f>H24+I23</f>
        <v/>
      </c>
      <c r="J24" s="9">
        <f>1/(1+02_Entradas!$B$20)^A24</f>
        <v/>
      </c>
      <c r="K24" s="8">
        <f>H24*J24</f>
        <v/>
      </c>
      <c r="L24" s="8">
        <f>K24+L23</f>
        <v/>
      </c>
    </row>
    <row r="25">
      <c r="A25" s="6" t="n">
        <v>20</v>
      </c>
      <c r="B25" s="6">
        <f>SUM(04_Geração!$E$5:$E$16)*(1-02_Entradas!$B$14)^(A25-1)</f>
        <v/>
      </c>
      <c r="C25" s="6">
        <f>02_Entradas!$B$9*(1+02_Entradas!$B$19)^(A25-1)</f>
        <v/>
      </c>
      <c r="D25" s="8">
        <f>B25*C25</f>
        <v/>
      </c>
      <c r="E25" s="8">
        <f>05_Custos!$B$7</f>
        <v/>
      </c>
      <c r="F25" s="8">
        <f>IF(A25=02_Entradas!$B$23,05_Custos!$B$8,0)</f>
        <v/>
      </c>
      <c r="G25" s="8">
        <f>D25-E25-F25</f>
        <v/>
      </c>
      <c r="H25" s="8">
        <f>G25</f>
        <v/>
      </c>
      <c r="I25" s="8">
        <f>H25+I24</f>
        <v/>
      </c>
      <c r="J25" s="9">
        <f>1/(1+02_Entradas!$B$20)^A25</f>
        <v/>
      </c>
      <c r="K25" s="8">
        <f>H25*J25</f>
        <v/>
      </c>
      <c r="L25" s="8">
        <f>K25+L24</f>
        <v/>
      </c>
    </row>
    <row r="26">
      <c r="A26" s="6" t="n">
        <v>21</v>
      </c>
      <c r="B26" s="6">
        <f>SUM(04_Geração!$E$5:$E$16)*(1-02_Entradas!$B$14)^(A26-1)</f>
        <v/>
      </c>
      <c r="C26" s="6">
        <f>02_Entradas!$B$9*(1+02_Entradas!$B$19)^(A26-1)</f>
        <v/>
      </c>
      <c r="D26" s="8">
        <f>B26*C26</f>
        <v/>
      </c>
      <c r="E26" s="8">
        <f>05_Custos!$B$7</f>
        <v/>
      </c>
      <c r="F26" s="8">
        <f>IF(A26=02_Entradas!$B$23,05_Custos!$B$8,0)</f>
        <v/>
      </c>
      <c r="G26" s="8">
        <f>D26-E26-F26</f>
        <v/>
      </c>
      <c r="H26" s="8">
        <f>G26</f>
        <v/>
      </c>
      <c r="I26" s="8">
        <f>H26+I25</f>
        <v/>
      </c>
      <c r="J26" s="9">
        <f>1/(1+02_Entradas!$B$20)^A26</f>
        <v/>
      </c>
      <c r="K26" s="8">
        <f>H26*J26</f>
        <v/>
      </c>
      <c r="L26" s="8">
        <f>K26+L25</f>
        <v/>
      </c>
    </row>
    <row r="27">
      <c r="A27" s="6" t="n">
        <v>22</v>
      </c>
      <c r="B27" s="6">
        <f>SUM(04_Geração!$E$5:$E$16)*(1-02_Entradas!$B$14)^(A27-1)</f>
        <v/>
      </c>
      <c r="C27" s="6">
        <f>02_Entradas!$B$9*(1+02_Entradas!$B$19)^(A27-1)</f>
        <v/>
      </c>
      <c r="D27" s="8">
        <f>B27*C27</f>
        <v/>
      </c>
      <c r="E27" s="8">
        <f>05_Custos!$B$7</f>
        <v/>
      </c>
      <c r="F27" s="8">
        <f>IF(A27=02_Entradas!$B$23,05_Custos!$B$8,0)</f>
        <v/>
      </c>
      <c r="G27" s="8">
        <f>D27-E27-F27</f>
        <v/>
      </c>
      <c r="H27" s="8">
        <f>G27</f>
        <v/>
      </c>
      <c r="I27" s="8">
        <f>H27+I26</f>
        <v/>
      </c>
      <c r="J27" s="9">
        <f>1/(1+02_Entradas!$B$20)^A27</f>
        <v/>
      </c>
      <c r="K27" s="8">
        <f>H27*J27</f>
        <v/>
      </c>
      <c r="L27" s="8">
        <f>K27+L26</f>
        <v/>
      </c>
    </row>
    <row r="28">
      <c r="A28" s="6" t="n">
        <v>23</v>
      </c>
      <c r="B28" s="6">
        <f>SUM(04_Geração!$E$5:$E$16)*(1-02_Entradas!$B$14)^(A28-1)</f>
        <v/>
      </c>
      <c r="C28" s="6">
        <f>02_Entradas!$B$9*(1+02_Entradas!$B$19)^(A28-1)</f>
        <v/>
      </c>
      <c r="D28" s="8">
        <f>B28*C28</f>
        <v/>
      </c>
      <c r="E28" s="8">
        <f>05_Custos!$B$7</f>
        <v/>
      </c>
      <c r="F28" s="8">
        <f>IF(A28=02_Entradas!$B$23,05_Custos!$B$8,0)</f>
        <v/>
      </c>
      <c r="G28" s="8">
        <f>D28-E28-F28</f>
        <v/>
      </c>
      <c r="H28" s="8">
        <f>G28</f>
        <v/>
      </c>
      <c r="I28" s="8">
        <f>H28+I27</f>
        <v/>
      </c>
      <c r="J28" s="9">
        <f>1/(1+02_Entradas!$B$20)^A28</f>
        <v/>
      </c>
      <c r="K28" s="8">
        <f>H28*J28</f>
        <v/>
      </c>
      <c r="L28" s="8">
        <f>K28+L27</f>
        <v/>
      </c>
    </row>
    <row r="29">
      <c r="A29" s="6" t="n">
        <v>24</v>
      </c>
      <c r="B29" s="6">
        <f>SUM(04_Geração!$E$5:$E$16)*(1-02_Entradas!$B$14)^(A29-1)</f>
        <v/>
      </c>
      <c r="C29" s="6">
        <f>02_Entradas!$B$9*(1+02_Entradas!$B$19)^(A29-1)</f>
        <v/>
      </c>
      <c r="D29" s="8">
        <f>B29*C29</f>
        <v/>
      </c>
      <c r="E29" s="8">
        <f>05_Custos!$B$7</f>
        <v/>
      </c>
      <c r="F29" s="8">
        <f>IF(A29=02_Entradas!$B$23,05_Custos!$B$8,0)</f>
        <v/>
      </c>
      <c r="G29" s="8">
        <f>D29-E29-F29</f>
        <v/>
      </c>
      <c r="H29" s="8">
        <f>G29</f>
        <v/>
      </c>
      <c r="I29" s="8">
        <f>H29+I28</f>
        <v/>
      </c>
      <c r="J29" s="9">
        <f>1/(1+02_Entradas!$B$20)^A29</f>
        <v/>
      </c>
      <c r="K29" s="8">
        <f>H29*J29</f>
        <v/>
      </c>
      <c r="L29" s="8">
        <f>K29+L28</f>
        <v/>
      </c>
    </row>
    <row r="30">
      <c r="A30" s="6" t="n">
        <v>25</v>
      </c>
      <c r="B30" s="6">
        <f>SUM(04_Geração!$E$5:$E$16)*(1-02_Entradas!$B$14)^(A30-1)</f>
        <v/>
      </c>
      <c r="C30" s="6">
        <f>02_Entradas!$B$9*(1+02_Entradas!$B$19)^(A30-1)</f>
        <v/>
      </c>
      <c r="D30" s="8">
        <f>B30*C30</f>
        <v/>
      </c>
      <c r="E30" s="8">
        <f>05_Custos!$B$7</f>
        <v/>
      </c>
      <c r="F30" s="8">
        <f>IF(A30=02_Entradas!$B$23,05_Custos!$B$8,0)</f>
        <v/>
      </c>
      <c r="G30" s="8">
        <f>D30-E30-F30</f>
        <v/>
      </c>
      <c r="H30" s="8">
        <f>G30</f>
        <v/>
      </c>
      <c r="I30" s="8">
        <f>H30+I29</f>
        <v/>
      </c>
      <c r="J30" s="9">
        <f>1/(1+02_Entradas!$B$20)^A30</f>
        <v/>
      </c>
      <c r="K30" s="8">
        <f>H30*J30</f>
        <v/>
      </c>
      <c r="L30" s="8">
        <f>K30+L29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Cenários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Dados fictícios para demonstração. Premissas ilustrativas e editáveis.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4" t="inlineStr">
        <is>
          <t>Cenário</t>
        </is>
      </c>
      <c r="B4" s="4" t="inlineStr">
        <is>
          <t>Potência kWp</t>
        </is>
      </c>
      <c r="C4" s="4" t="inlineStr">
        <is>
          <t>Geração anual</t>
        </is>
      </c>
      <c r="D4" s="4" t="inlineStr">
        <is>
          <t>CAPEX</t>
        </is>
      </c>
      <c r="E4" s="4" t="inlineStr">
        <is>
          <t>Economia Ano 1</t>
        </is>
      </c>
      <c r="F4" s="4" t="inlineStr">
        <is>
          <t>Payback</t>
        </is>
      </c>
      <c r="G4" s="4" t="inlineStr">
        <is>
          <t>VPL</t>
        </is>
      </c>
      <c r="H4" s="4" t="inlineStr">
        <is>
          <t>TIR</t>
        </is>
      </c>
      <c r="I4" s="4" t="inlineStr">
        <is>
          <t>LCOE</t>
        </is>
      </c>
      <c r="J4" s="4" t="inlineStr">
        <is>
          <t>Economia total</t>
        </is>
      </c>
    </row>
    <row r="5">
      <c r="A5" s="6" t="inlineStr">
        <is>
          <t>Conservador</t>
        </is>
      </c>
      <c r="B5" s="6" t="n">
        <v>40.2</v>
      </c>
      <c r="C5" s="6" t="n">
        <v>53989.05024</v>
      </c>
      <c r="D5" s="8" t="n">
        <v>185724</v>
      </c>
      <c r="E5" s="8" t="n">
        <v>49060.90972799999</v>
      </c>
      <c r="F5" s="6" t="n">
        <v>3.710487140483909</v>
      </c>
      <c r="G5" s="8" t="n">
        <v>233568.3873114699</v>
      </c>
      <c r="H5" s="9" t="n">
        <v>0.2758927409241119</v>
      </c>
      <c r="I5" s="6" t="n">
        <v>0.5152916411264044</v>
      </c>
      <c r="J5" s="8" t="n">
        <v>1439660.26884234</v>
      </c>
    </row>
    <row r="6">
      <c r="A6" s="6" t="inlineStr">
        <is>
          <t>Base</t>
        </is>
      </c>
      <c r="B6" s="6" t="n">
        <v>38.4</v>
      </c>
      <c r="C6" s="6" t="n">
        <v>54285.9264</v>
      </c>
      <c r="D6" s="8" t="n">
        <v>161280</v>
      </c>
      <c r="E6" s="8" t="n">
        <v>49636.27007999999</v>
      </c>
      <c r="F6" s="6" t="n">
        <v>3.12880677717547</v>
      </c>
      <c r="G6" s="8" t="n">
        <v>426940.5810671443</v>
      </c>
      <c r="H6" s="9" t="n">
        <v>0.3408309183604847</v>
      </c>
      <c r="I6" s="6" t="n">
        <v>0.3962386987291974</v>
      </c>
      <c r="J6" s="8" t="n">
        <v>1902515.413086898</v>
      </c>
    </row>
    <row r="7">
      <c r="A7" s="6" t="inlineStr">
        <is>
          <t>Otimista</t>
        </is>
      </c>
      <c r="B7" s="6" t="n">
        <v>36.6</v>
      </c>
      <c r="C7" s="6" t="n">
        <v>54328.33728</v>
      </c>
      <c r="D7" s="8" t="n">
        <v>141422.4</v>
      </c>
      <c r="E7" s="8" t="n">
        <v>49914.851616</v>
      </c>
      <c r="F7" s="6" t="n">
        <v>2.721462881076957</v>
      </c>
      <c r="G7" s="8" t="n">
        <v>571132.0282596288</v>
      </c>
      <c r="H7" s="9" t="n">
        <v>0.3965893431239194</v>
      </c>
      <c r="I7" s="6" t="n">
        <v>0.3277603564212584</v>
      </c>
      <c r="J7" s="8" t="n">
        <v>2192332.286626233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4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Sensibilidade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Dados fictícios para demonstração. Premissas ilustrativas e editáveis.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Variável</t>
        </is>
      </c>
      <c r="B4" s="4" t="inlineStr">
        <is>
          <t>Variação</t>
        </is>
      </c>
      <c r="C4" s="4" t="inlineStr">
        <is>
          <t>Payback</t>
        </is>
      </c>
      <c r="D4" s="4" t="inlineStr">
        <is>
          <t>Payback descontado</t>
        </is>
      </c>
      <c r="E4" s="4" t="inlineStr">
        <is>
          <t>VPL</t>
        </is>
      </c>
      <c r="F4" s="4" t="inlineStr">
        <is>
          <t>TIR</t>
        </is>
      </c>
      <c r="G4" s="4" t="inlineStr">
        <is>
          <t>LCOE</t>
        </is>
      </c>
      <c r="H4" s="4" t="inlineStr">
        <is>
          <t>ROI acumulado</t>
        </is>
      </c>
    </row>
    <row r="5">
      <c r="A5" s="6" t="inlineStr">
        <is>
          <t>capex</t>
        </is>
      </c>
      <c r="B5" s="9" t="n">
        <v>-0.2</v>
      </c>
      <c r="C5" s="6" t="n">
        <v>2.508478404664999</v>
      </c>
      <c r="D5" s="6" t="n">
        <v>3.013845514774573</v>
      </c>
      <c r="E5" s="8" t="n">
        <v>462710.0491010805</v>
      </c>
      <c r="F5" s="9" t="n">
        <v>0.4211835673576987</v>
      </c>
      <c r="G5" s="6" t="n">
        <v>0.3203701078067641</v>
      </c>
      <c r="H5" s="9" t="n">
        <v>14.82043815946567</v>
      </c>
    </row>
    <row r="6">
      <c r="A6" s="6" t="inlineStr">
        <is>
          <t>capex</t>
        </is>
      </c>
      <c r="B6" s="9" t="n">
        <v>-0.1</v>
      </c>
      <c r="C6" s="6" t="n">
        <v>2.819763073374756</v>
      </c>
      <c r="D6" s="6" t="n">
        <v>3.454181867548428</v>
      </c>
      <c r="E6" s="8" t="n">
        <v>444825.3150841125</v>
      </c>
      <c r="F6" s="9" t="n">
        <v>0.3765822290468701</v>
      </c>
      <c r="G6" s="6" t="n">
        <v>0.3583044032679807</v>
      </c>
      <c r="H6" s="9" t="n">
        <v>13.14038947508059</v>
      </c>
    </row>
    <row r="7">
      <c r="A7" s="6" t="inlineStr">
        <is>
          <t>capex</t>
        </is>
      </c>
      <c r="B7" s="9" t="n">
        <v>0</v>
      </c>
      <c r="C7" s="6" t="n">
        <v>3.12880677717547</v>
      </c>
      <c r="D7" s="6" t="n">
        <v>3.897615037160337</v>
      </c>
      <c r="E7" s="8" t="n">
        <v>426940.5810671443</v>
      </c>
      <c r="F7" s="9" t="n">
        <v>0.3408309183604847</v>
      </c>
      <c r="G7" s="6" t="n">
        <v>0.3962386987291974</v>
      </c>
      <c r="H7" s="9" t="n">
        <v>11.79635052757254</v>
      </c>
    </row>
    <row r="8">
      <c r="A8" s="6" t="inlineStr">
        <is>
          <t>capex</t>
        </is>
      </c>
      <c r="B8" s="9" t="n">
        <v>0.1</v>
      </c>
      <c r="C8" s="6" t="n">
        <v>3.433917041476357</v>
      </c>
      <c r="D8" s="6" t="n">
        <v>4.365767936633037</v>
      </c>
      <c r="E8" s="8" t="n">
        <v>409055.8470501764</v>
      </c>
      <c r="F8" s="9" t="n">
        <v>0.3114982277665521</v>
      </c>
      <c r="G8" s="6" t="n">
        <v>0.4341729941904141</v>
      </c>
      <c r="H8" s="9" t="n">
        <v>10.69668229779321</v>
      </c>
    </row>
    <row r="9">
      <c r="A9" s="6" t="inlineStr">
        <is>
          <t>capex</t>
        </is>
      </c>
      <c r="B9" s="9" t="n">
        <v>0.2</v>
      </c>
      <c r="C9" s="6" t="n">
        <v>3.741188296552991</v>
      </c>
      <c r="D9" s="6" t="n">
        <v>4.843603433678922</v>
      </c>
      <c r="E9" s="8" t="n">
        <v>391171.1130332083</v>
      </c>
      <c r="F9" s="9" t="n">
        <v>0.2869628963205868</v>
      </c>
      <c r="G9" s="6" t="n">
        <v>0.4721072896516308</v>
      </c>
      <c r="H9" s="9" t="n">
        <v>9.780292106310446</v>
      </c>
    </row>
    <row r="10">
      <c r="A10" s="6" t="inlineStr">
        <is>
          <t>tariff</t>
        </is>
      </c>
      <c r="B10" s="9" t="n">
        <v>-0.2</v>
      </c>
      <c r="C10" s="6" t="n">
        <v>3.895641482836015</v>
      </c>
      <c r="D10" s="6" t="n">
        <v>5.088991158087175</v>
      </c>
      <c r="E10" s="8" t="n">
        <v>304189.8427312277</v>
      </c>
      <c r="F10" s="9" t="n">
        <v>0.275714076844684</v>
      </c>
      <c r="G10" s="6" t="n">
        <v>0.3962386987291974</v>
      </c>
      <c r="H10" s="9" t="n">
        <v>9.346078437931045</v>
      </c>
    </row>
    <row r="11">
      <c r="A11" s="6" t="inlineStr">
        <is>
          <t>tariff</t>
        </is>
      </c>
      <c r="B11" s="9" t="n">
        <v>-0.1</v>
      </c>
      <c r="C11" s="6" t="n">
        <v>3.467951157858798</v>
      </c>
      <c r="D11" s="6" t="n">
        <v>4.418699813018582</v>
      </c>
      <c r="E11" s="8" t="n">
        <v>365565.211899186</v>
      </c>
      <c r="F11" s="9" t="n">
        <v>0.3083867399100568</v>
      </c>
      <c r="G11" s="6" t="n">
        <v>0.3962386987291974</v>
      </c>
      <c r="H11" s="9" t="n">
        <v>10.57121448275179</v>
      </c>
    </row>
    <row r="12">
      <c r="A12" s="6" t="inlineStr">
        <is>
          <t>tariff</t>
        </is>
      </c>
      <c r="B12" s="9" t="n">
        <v>0</v>
      </c>
      <c r="C12" s="6" t="n">
        <v>3.12880677717547</v>
      </c>
      <c r="D12" s="6" t="n">
        <v>3.897615037160337</v>
      </c>
      <c r="E12" s="8" t="n">
        <v>426940.5810671443</v>
      </c>
      <c r="F12" s="9" t="n">
        <v>0.3408309183604847</v>
      </c>
      <c r="G12" s="6" t="n">
        <v>0.3962386987291974</v>
      </c>
      <c r="H12" s="9" t="n">
        <v>11.79635052757254</v>
      </c>
    </row>
    <row r="13">
      <c r="A13" s="6" t="inlineStr">
        <is>
          <t>tariff</t>
        </is>
      </c>
      <c r="B13" s="9" t="n">
        <v>0.1</v>
      </c>
      <c r="C13" s="6" t="n">
        <v>2.848173663538724</v>
      </c>
      <c r="D13" s="6" t="n">
        <v>3.494365516906887</v>
      </c>
      <c r="E13" s="8" t="n">
        <v>488315.9502351027</v>
      </c>
      <c r="F13" s="9" t="n">
        <v>0.3731288403551476</v>
      </c>
      <c r="G13" s="6" t="n">
        <v>0.3962386987291974</v>
      </c>
      <c r="H13" s="9" t="n">
        <v>13.02148657239328</v>
      </c>
    </row>
    <row r="14">
      <c r="A14" s="6" t="inlineStr">
        <is>
          <t>tariff</t>
        </is>
      </c>
      <c r="B14" s="9" t="n">
        <v>0.2</v>
      </c>
      <c r="C14" s="6" t="n">
        <v>2.611989721650547</v>
      </c>
      <c r="D14" s="6" t="n">
        <v>3.160282213136666</v>
      </c>
      <c r="E14" s="8" t="n">
        <v>549691.3194030612</v>
      </c>
      <c r="F14" s="9" t="n">
        <v>0.4053307032797104</v>
      </c>
      <c r="G14" s="6" t="n">
        <v>0.3962386987291974</v>
      </c>
      <c r="H14" s="9" t="n">
        <v>14.24662261721403</v>
      </c>
    </row>
    <row r="15">
      <c r="A15" s="6" t="inlineStr">
        <is>
          <t>generation</t>
        </is>
      </c>
      <c r="B15" s="9" t="n">
        <v>-0.2</v>
      </c>
      <c r="C15" s="6" t="n">
        <v>3.895641482836013</v>
      </c>
      <c r="D15" s="6" t="n">
        <v>5.088991158087174</v>
      </c>
      <c r="E15" s="8" t="n">
        <v>382228.7460247244</v>
      </c>
      <c r="F15" s="9" t="n">
        <v>0.2761297413370436</v>
      </c>
      <c r="G15" s="6" t="n">
        <v>0.4910744373822391</v>
      </c>
      <c r="H15" s="9" t="n">
        <v>9.377080422058031</v>
      </c>
    </row>
    <row r="16">
      <c r="A16" s="6" t="inlineStr">
        <is>
          <t>generation</t>
        </is>
      </c>
      <c r="B16" s="9" t="n">
        <v>-0.1</v>
      </c>
      <c r="C16" s="6" t="n">
        <v>3.467951157858797</v>
      </c>
      <c r="D16" s="6" t="n">
        <v>4.418699813018582</v>
      </c>
      <c r="E16" s="8" t="n">
        <v>406420.1630928364</v>
      </c>
      <c r="F16" s="9" t="n">
        <v>0.3085567575476258</v>
      </c>
      <c r="G16" s="6" t="n">
        <v>0.4384143568224381</v>
      </c>
      <c r="H16" s="9" t="n">
        <v>10.5864971509834</v>
      </c>
    </row>
    <row r="17">
      <c r="A17" s="6" t="inlineStr">
        <is>
          <t>generation</t>
        </is>
      </c>
      <c r="B17" s="9" t="n">
        <v>0</v>
      </c>
      <c r="C17" s="6" t="n">
        <v>3.12880677717547</v>
      </c>
      <c r="D17" s="6" t="n">
        <v>3.897615037160337</v>
      </c>
      <c r="E17" s="8" t="n">
        <v>426940.5810671443</v>
      </c>
      <c r="F17" s="9" t="n">
        <v>0.3408309183604847</v>
      </c>
      <c r="G17" s="6" t="n">
        <v>0.3962386987291974</v>
      </c>
      <c r="H17" s="9" t="n">
        <v>11.79635052757254</v>
      </c>
    </row>
    <row r="18">
      <c r="A18" s="6" t="inlineStr">
        <is>
          <t>generation</t>
        </is>
      </c>
      <c r="B18" s="9" t="n">
        <v>0.1</v>
      </c>
      <c r="C18" s="6" t="n">
        <v>2.848173663538724</v>
      </c>
      <c r="D18" s="6" t="n">
        <v>3.494365516906886</v>
      </c>
      <c r="E18" s="8" t="n">
        <v>441789.5389215533</v>
      </c>
      <c r="F18" s="9" t="n">
        <v>0.3730065195142602</v>
      </c>
      <c r="G18" s="6" t="n">
        <v>0.3618059402977373</v>
      </c>
      <c r="H18" s="9" t="n">
        <v>13.00545106336208</v>
      </c>
    </row>
    <row r="19">
      <c r="A19" s="6" t="inlineStr">
        <is>
          <t>generation</t>
        </is>
      </c>
      <c r="B19" s="9" t="n">
        <v>0.2</v>
      </c>
      <c r="C19" s="6" t="n">
        <v>2.639271045787363</v>
      </c>
      <c r="D19" s="6" t="n">
        <v>3.19887492766101</v>
      </c>
      <c r="E19" s="8" t="n">
        <v>456084.2156477186</v>
      </c>
      <c r="F19" s="9" t="n">
        <v>0.401124069486932</v>
      </c>
      <c r="G19" s="6" t="n">
        <v>0.3363095075640853</v>
      </c>
      <c r="H19" s="9" t="n">
        <v>14.06477507075311</v>
      </c>
    </row>
    <row r="20">
      <c r="A20" s="6" t="inlineStr">
        <is>
          <t>discount_rate</t>
        </is>
      </c>
      <c r="B20" s="9" t="n">
        <v>-0.2</v>
      </c>
      <c r="C20" s="6" t="n">
        <v>3.12880677717547</v>
      </c>
      <c r="D20" s="6" t="n">
        <v>3.12880677717547</v>
      </c>
      <c r="E20" s="8" t="n">
        <v>1741235.413086898</v>
      </c>
      <c r="F20" s="9" t="n">
        <v>0.3408309183604847</v>
      </c>
      <c r="G20" s="6" t="n">
        <v>0.1856836734560273</v>
      </c>
      <c r="H20" s="9" t="n">
        <v>11.79635052757254</v>
      </c>
    </row>
    <row r="21">
      <c r="A21" s="6" t="inlineStr">
        <is>
          <t>discount_rate</t>
        </is>
      </c>
      <c r="B21" s="9" t="n">
        <v>-0.1</v>
      </c>
      <c r="C21" s="6" t="n">
        <v>3.12880677717547</v>
      </c>
      <c r="D21" s="6" t="n">
        <v>3.12880677717547</v>
      </c>
      <c r="E21" s="8" t="n">
        <v>1741235.413086898</v>
      </c>
      <c r="F21" s="9" t="n">
        <v>0.3408309183604847</v>
      </c>
      <c r="G21" s="6" t="n">
        <v>0.1856836734560273</v>
      </c>
      <c r="H21" s="9" t="n">
        <v>11.79635052757254</v>
      </c>
    </row>
    <row r="22">
      <c r="A22" s="6" t="inlineStr">
        <is>
          <t>discount_rate</t>
        </is>
      </c>
      <c r="B22" s="9" t="n">
        <v>0</v>
      </c>
      <c r="C22" s="6" t="n">
        <v>3.12880677717547</v>
      </c>
      <c r="D22" s="6" t="n">
        <v>3.897615037160337</v>
      </c>
      <c r="E22" s="8" t="n">
        <v>426940.5810671443</v>
      </c>
      <c r="F22" s="9" t="n">
        <v>0.3408309183604847</v>
      </c>
      <c r="G22" s="6" t="n">
        <v>0.3962386987291974</v>
      </c>
      <c r="H22" s="9" t="n">
        <v>11.79635052757254</v>
      </c>
    </row>
    <row r="23">
      <c r="A23" s="6" t="inlineStr">
        <is>
          <t>discount_rate</t>
        </is>
      </c>
      <c r="B23" s="9" t="n">
        <v>0.1</v>
      </c>
      <c r="C23" s="6" t="n">
        <v>3.12880677717547</v>
      </c>
      <c r="D23" s="6" t="n">
        <v>5.204151211756439</v>
      </c>
      <c r="E23" s="8" t="n">
        <v>129106.4196976978</v>
      </c>
      <c r="F23" s="9" t="n">
        <v>0.3408309183604847</v>
      </c>
      <c r="G23" s="6" t="n">
        <v>0.6649857802123051</v>
      </c>
      <c r="H23" s="9" t="n">
        <v>11.79635052757254</v>
      </c>
    </row>
    <row r="24">
      <c r="A24" s="6" t="inlineStr">
        <is>
          <t>discount_rate</t>
        </is>
      </c>
      <c r="B24" s="9" t="n">
        <v>0.2</v>
      </c>
      <c r="C24" s="6" t="n">
        <v>3.12880677717547</v>
      </c>
      <c r="D24" s="6" t="n">
        <v>8.68298007594267</v>
      </c>
      <c r="E24" s="8" t="n">
        <v>24278.85714779139</v>
      </c>
      <c r="F24" s="9" t="n">
        <v>0.3408309183604847</v>
      </c>
      <c r="G24" s="6" t="n">
        <v>0.9526290975517826</v>
      </c>
      <c r="H24" s="9" t="n">
        <v>11.79635052757254</v>
      </c>
    </row>
    <row r="25">
      <c r="A25" s="6" t="inlineStr">
        <is>
          <t>tariff_escalation</t>
        </is>
      </c>
      <c r="B25" s="9" t="n">
        <v>-0.2</v>
      </c>
      <c r="C25" s="6" t="n">
        <v>3.272975905759443</v>
      </c>
      <c r="D25" s="6" t="n">
        <v>4.175964081435914</v>
      </c>
      <c r="E25" s="8" t="n">
        <v>261079.6763642003</v>
      </c>
      <c r="F25" s="9" t="n">
        <v>0.299097918441823</v>
      </c>
      <c r="G25" s="6" t="n">
        <v>0.3962386987291974</v>
      </c>
      <c r="H25" s="9" t="n">
        <v>6.989152502888614</v>
      </c>
    </row>
    <row r="26">
      <c r="A26" s="6" t="inlineStr">
        <is>
          <t>tariff_escalation</t>
        </is>
      </c>
      <c r="B26" s="9" t="n">
        <v>-0.1</v>
      </c>
      <c r="C26" s="6" t="n">
        <v>3.272975905759443</v>
      </c>
      <c r="D26" s="6" t="n">
        <v>4.175964081435914</v>
      </c>
      <c r="E26" s="8" t="n">
        <v>261079.6763642003</v>
      </c>
      <c r="F26" s="9" t="n">
        <v>0.299097918441823</v>
      </c>
      <c r="G26" s="6" t="n">
        <v>0.3962386987291974</v>
      </c>
      <c r="H26" s="9" t="n">
        <v>6.989152502888614</v>
      </c>
    </row>
    <row r="27">
      <c r="A27" s="6" t="inlineStr">
        <is>
          <t>tariff_escalation</t>
        </is>
      </c>
      <c r="B27" s="9" t="n">
        <v>0</v>
      </c>
      <c r="C27" s="6" t="n">
        <v>3.12880677717547</v>
      </c>
      <c r="D27" s="6" t="n">
        <v>3.897615037160337</v>
      </c>
      <c r="E27" s="8" t="n">
        <v>426940.5810671443</v>
      </c>
      <c r="F27" s="9" t="n">
        <v>0.3408309183604847</v>
      </c>
      <c r="G27" s="6" t="n">
        <v>0.3962386987291974</v>
      </c>
      <c r="H27" s="9" t="n">
        <v>11.79635052757254</v>
      </c>
    </row>
    <row r="28">
      <c r="A28" s="6" t="inlineStr">
        <is>
          <t>tariff_escalation</t>
        </is>
      </c>
      <c r="B28" s="9" t="n">
        <v>0.1</v>
      </c>
      <c r="C28" s="6" t="n">
        <v>2.857742040791583</v>
      </c>
      <c r="D28" s="6" t="n">
        <v>3.423799133861553</v>
      </c>
      <c r="E28" s="8" t="n">
        <v>1525785.619106709</v>
      </c>
      <c r="F28" s="9" t="n">
        <v>0.4431853474740979</v>
      </c>
      <c r="G28" s="6" t="n">
        <v>0.3962386987291974</v>
      </c>
      <c r="H28" s="9" t="n">
        <v>51.81217092507155</v>
      </c>
    </row>
    <row r="29">
      <c r="A29" s="6" t="inlineStr">
        <is>
          <t>tariff_escalation</t>
        </is>
      </c>
      <c r="B29" s="9" t="n">
        <v>0.2</v>
      </c>
      <c r="C29" s="6" t="n">
        <v>2.654526133249084</v>
      </c>
      <c r="D29" s="6" t="n">
        <v>3.120871419268165</v>
      </c>
      <c r="E29" s="8" t="n">
        <v>6113478.635822809</v>
      </c>
      <c r="F29" s="9" t="n">
        <v>0.5440470654328102</v>
      </c>
      <c r="G29" s="6" t="n">
        <v>0.3962386987291974</v>
      </c>
      <c r="H29" s="9" t="n">
        <v>254.3216083158304</v>
      </c>
    </row>
    <row r="30">
      <c r="A30" s="6" t="inlineStr">
        <is>
          <t>degradation</t>
        </is>
      </c>
      <c r="B30" s="9" t="n">
        <v>-0.2</v>
      </c>
      <c r="C30" s="6" t="n">
        <v>3.122059881179295</v>
      </c>
      <c r="D30" s="6" t="n">
        <v>3.885276937684323</v>
      </c>
      <c r="E30" s="8" t="n">
        <v>438069.2955707855</v>
      </c>
      <c r="F30" s="9" t="n">
        <v>0.342997754959546</v>
      </c>
      <c r="G30" s="6" t="n">
        <v>0.3904982870511156</v>
      </c>
      <c r="H30" s="9" t="n">
        <v>12.13986695070676</v>
      </c>
    </row>
    <row r="31">
      <c r="A31" s="6" t="inlineStr">
        <is>
          <t>degradation</t>
        </is>
      </c>
      <c r="B31" s="9" t="n">
        <v>-0.1</v>
      </c>
      <c r="C31" s="6" t="n">
        <v>3.125424205165952</v>
      </c>
      <c r="D31" s="6" t="n">
        <v>3.891430642577297</v>
      </c>
      <c r="E31" s="8" t="n">
        <v>432468.2112689001</v>
      </c>
      <c r="F31" s="9" t="n">
        <v>0.3419145132442063</v>
      </c>
      <c r="G31" s="6" t="n">
        <v>0.3933643193717287</v>
      </c>
      <c r="H31" s="9" t="n">
        <v>11.96669304171579</v>
      </c>
    </row>
    <row r="32">
      <c r="A32" s="6" t="inlineStr">
        <is>
          <t>degradation</t>
        </is>
      </c>
      <c r="B32" s="9" t="n">
        <v>0</v>
      </c>
      <c r="C32" s="6" t="n">
        <v>3.12880677717547</v>
      </c>
      <c r="D32" s="6" t="n">
        <v>3.897615037160337</v>
      </c>
      <c r="E32" s="8" t="n">
        <v>426940.5810671443</v>
      </c>
      <c r="F32" s="9" t="n">
        <v>0.3408309183604847</v>
      </c>
      <c r="G32" s="6" t="n">
        <v>0.3962386987291974</v>
      </c>
      <c r="H32" s="9" t="n">
        <v>11.79635052757254</v>
      </c>
    </row>
    <row r="33">
      <c r="A33" s="6" t="inlineStr">
        <is>
          <t>degradation</t>
        </is>
      </c>
      <c r="B33" s="9" t="n">
        <v>0.1</v>
      </c>
      <c r="C33" s="6" t="n">
        <v>3.132207705733617</v>
      </c>
      <c r="D33" s="6" t="n">
        <v>3.903830298892195</v>
      </c>
      <c r="E33" s="8" t="n">
        <v>421485.3040767203</v>
      </c>
      <c r="F33" s="9" t="n">
        <v>0.3397469666953168</v>
      </c>
      <c r="G33" s="6" t="n">
        <v>0.3991213434332638</v>
      </c>
      <c r="H33" s="9" t="n">
        <v>11.62879093061587</v>
      </c>
    </row>
    <row r="34">
      <c r="A34" s="6" t="inlineStr">
        <is>
          <t>degradation</t>
        </is>
      </c>
      <c r="B34" s="9" t="n">
        <v>0.2</v>
      </c>
      <c r="C34" s="6" t="n">
        <v>3.135627100120546</v>
      </c>
      <c r="D34" s="6" t="n">
        <v>3.91007660644953</v>
      </c>
      <c r="E34" s="8" t="n">
        <v>416101.2967453533</v>
      </c>
      <c r="F34" s="9" t="n">
        <v>0.3386626545870801</v>
      </c>
      <c r="G34" s="6" t="n">
        <v>0.4020121717742268</v>
      </c>
      <c r="H34" s="9" t="n">
        <v>11.46396660731121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9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Mapa de calor: CAPEX x tarifa</t>
        </is>
      </c>
      <c r="B1" s="2" t="n"/>
      <c r="C1" s="2" t="n"/>
      <c r="D1" s="2" t="n"/>
      <c r="E1" s="2" t="n"/>
      <c r="F1" s="2" t="n"/>
      <c r="G1" s="2" t="n"/>
    </row>
    <row r="2">
      <c r="A2" s="3" t="inlineStr">
        <is>
          <t>Dados fictícios para demonstração. Premissas ilustrativas e editáveis.</t>
        </is>
      </c>
      <c r="B2" s="2" t="n"/>
      <c r="C2" s="2" t="n"/>
      <c r="D2" s="2" t="n"/>
      <c r="E2" s="2" t="n"/>
      <c r="F2" s="2" t="n"/>
      <c r="G2" s="2" t="n"/>
    </row>
    <row r="3">
      <c r="A3" s="2" t="n"/>
      <c r="B3" s="2" t="n"/>
      <c r="C3" s="2" t="n"/>
      <c r="D3" s="2" t="n"/>
      <c r="E3" s="2" t="n"/>
      <c r="F3" s="2" t="n"/>
      <c r="G3" s="2" t="n"/>
    </row>
    <row r="4">
      <c r="A4" s="4" t="inlineStr">
        <is>
          <t>Variação CAPEX</t>
        </is>
      </c>
      <c r="B4" s="4" t="inlineStr">
        <is>
          <t>Variação tarifa</t>
        </is>
      </c>
      <c r="C4" s="4" t="inlineStr">
        <is>
          <t>Payback simples</t>
        </is>
      </c>
      <c r="D4" s="4" t="inlineStr">
        <is>
          <t>VPL</t>
        </is>
      </c>
      <c r="E4" s="4" t="inlineStr">
        <is>
          <t>TIR</t>
        </is>
      </c>
      <c r="F4" s="4" t="inlineStr">
        <is>
          <t>ROI acumulado</t>
        </is>
      </c>
      <c r="G4" s="4" t="inlineStr">
        <is>
          <t>Classificação</t>
        </is>
      </c>
    </row>
    <row r="5">
      <c r="A5" s="9" t="n">
        <v>-0.2</v>
      </c>
      <c r="B5" s="9" t="n">
        <v>-0.2</v>
      </c>
      <c r="C5" s="6" t="n">
        <v>3.12880677717547</v>
      </c>
      <c r="D5" s="8" t="n">
        <v>339959.3107651637</v>
      </c>
      <c r="E5" s="9" t="n">
        <v>0.3404729968253399</v>
      </c>
      <c r="F5" s="9" t="n">
        <v>11.75759804741381</v>
      </c>
      <c r="G5" s="6" t="inlineStr">
        <is>
          <t>Atrativo</t>
        </is>
      </c>
    </row>
    <row r="6">
      <c r="A6" s="9" t="n">
        <v>-0.2</v>
      </c>
      <c r="B6" s="9" t="n">
        <v>-0.1</v>
      </c>
      <c r="C6" s="6" t="n">
        <v>2.78506444655051</v>
      </c>
      <c r="D6" s="8" t="n">
        <v>401334.6799331221</v>
      </c>
      <c r="E6" s="9" t="n">
        <v>0.380904694848446</v>
      </c>
      <c r="F6" s="9" t="n">
        <v>13.28901810343974</v>
      </c>
      <c r="G6" s="6" t="inlineStr">
        <is>
          <t>Atrativo</t>
        </is>
      </c>
    </row>
    <row r="7">
      <c r="A7" s="9" t="n">
        <v>-0.2</v>
      </c>
      <c r="B7" s="9" t="n">
        <v>0</v>
      </c>
      <c r="C7" s="6" t="n">
        <v>2.508478404664999</v>
      </c>
      <c r="D7" s="8" t="n">
        <v>462710.0491010805</v>
      </c>
      <c r="E7" s="9" t="n">
        <v>0.4211835673576987</v>
      </c>
      <c r="F7" s="9" t="n">
        <v>14.82043815946567</v>
      </c>
      <c r="G7" s="6" t="inlineStr">
        <is>
          <t>Atrativo</t>
        </is>
      </c>
    </row>
    <row r="8">
      <c r="A8" s="9" t="n">
        <v>-0.2</v>
      </c>
      <c r="B8" s="9" t="n">
        <v>0.1</v>
      </c>
      <c r="C8" s="6" t="n">
        <v>2.283498723655995</v>
      </c>
      <c r="D8" s="8" t="n">
        <v>524085.4182690388</v>
      </c>
      <c r="E8" s="9" t="n">
        <v>0.461365156993613</v>
      </c>
      <c r="F8" s="9" t="n">
        <v>16.3518582154916</v>
      </c>
      <c r="G8" s="6" t="inlineStr">
        <is>
          <t>Atrativo</t>
        </is>
      </c>
    </row>
    <row r="9">
      <c r="A9" s="9" t="n">
        <v>-0.2</v>
      </c>
      <c r="B9" s="9" t="n">
        <v>0.2</v>
      </c>
      <c r="C9" s="6" t="n">
        <v>2.096914533461147</v>
      </c>
      <c r="D9" s="8" t="n">
        <v>585460.7874369972</v>
      </c>
      <c r="E9" s="9" t="n">
        <v>0.5014823692412111</v>
      </c>
      <c r="F9" s="9" t="n">
        <v>17.88327827151753</v>
      </c>
      <c r="G9" s="6" t="inlineStr">
        <is>
          <t>Atrativo</t>
        </is>
      </c>
    </row>
    <row r="10">
      <c r="A10" s="9" t="n">
        <v>-0.1</v>
      </c>
      <c r="B10" s="9" t="n">
        <v>-0.2</v>
      </c>
      <c r="C10" s="6" t="n">
        <v>3.510531367926192</v>
      </c>
      <c r="D10" s="8" t="n">
        <v>322074.5767481957</v>
      </c>
      <c r="E10" s="9" t="n">
        <v>0.3045735832580303</v>
      </c>
      <c r="F10" s="9" t="n">
        <v>10.4178649310345</v>
      </c>
      <c r="G10" s="6" t="inlineStr">
        <is>
          <t>Atrativo</t>
        </is>
      </c>
    </row>
    <row r="11">
      <c r="A11" s="9" t="n">
        <v>-0.1</v>
      </c>
      <c r="B11" s="9" t="n">
        <v>-0.1</v>
      </c>
      <c r="C11" s="6" t="n">
        <v>3.12880677717547</v>
      </c>
      <c r="D11" s="8" t="n">
        <v>383449.9459161541</v>
      </c>
      <c r="E11" s="9" t="n">
        <v>0.3406720253007531</v>
      </c>
      <c r="F11" s="9" t="n">
        <v>11.77912720305754</v>
      </c>
      <c r="G11" s="6" t="inlineStr">
        <is>
          <t>Atrativo</t>
        </is>
      </c>
    </row>
    <row r="12">
      <c r="A12" s="9" t="n">
        <v>-0.1</v>
      </c>
      <c r="B12" s="9" t="n">
        <v>0</v>
      </c>
      <c r="C12" s="6" t="n">
        <v>2.819763073374756</v>
      </c>
      <c r="D12" s="8" t="n">
        <v>444825.3150841125</v>
      </c>
      <c r="E12" s="9" t="n">
        <v>0.3765822290468701</v>
      </c>
      <c r="F12" s="9" t="n">
        <v>13.14038947508059</v>
      </c>
      <c r="G12" s="6" t="inlineStr">
        <is>
          <t>Atrativo</t>
        </is>
      </c>
    </row>
    <row r="13">
      <c r="A13" s="9" t="n">
        <v>-0.1</v>
      </c>
      <c r="B13" s="9" t="n">
        <v>0.1</v>
      </c>
      <c r="C13" s="6" t="n">
        <v>2.56490819339233</v>
      </c>
      <c r="D13" s="8" t="n">
        <v>506200.6842520708</v>
      </c>
      <c r="E13" s="9" t="n">
        <v>0.4123729310253776</v>
      </c>
      <c r="F13" s="9" t="n">
        <v>14.50165174710365</v>
      </c>
      <c r="G13" s="6" t="inlineStr">
        <is>
          <t>Atrativo</t>
        </is>
      </c>
    </row>
    <row r="14">
      <c r="A14" s="9" t="n">
        <v>-0.1</v>
      </c>
      <c r="B14" s="9" t="n">
        <v>0.2</v>
      </c>
      <c r="C14" s="6" t="n">
        <v>2.353678089435765</v>
      </c>
      <c r="D14" s="8" t="n">
        <v>567576.0534200292</v>
      </c>
      <c r="E14" s="9" t="n">
        <v>0.4480851995844479</v>
      </c>
      <c r="F14" s="9" t="n">
        <v>15.86291401912669</v>
      </c>
      <c r="G14" s="6" t="inlineStr">
        <is>
          <t>Atrativo</t>
        </is>
      </c>
    </row>
    <row r="15">
      <c r="A15" s="9" t="n">
        <v>0</v>
      </c>
      <c r="B15" s="9" t="n">
        <v>-0.2</v>
      </c>
      <c r="C15" s="6" t="n">
        <v>3.895641482836015</v>
      </c>
      <c r="D15" s="8" t="n">
        <v>304189.8427312277</v>
      </c>
      <c r="E15" s="9" t="n">
        <v>0.275714076844684</v>
      </c>
      <c r="F15" s="9" t="n">
        <v>9.346078437931045</v>
      </c>
      <c r="G15" s="6" t="inlineStr">
        <is>
          <t>Atrativo</t>
        </is>
      </c>
    </row>
    <row r="16">
      <c r="A16" s="9" t="n">
        <v>0</v>
      </c>
      <c r="B16" s="9" t="n">
        <v>-0.1</v>
      </c>
      <c r="C16" s="6" t="n">
        <v>3.467951157858798</v>
      </c>
      <c r="D16" s="8" t="n">
        <v>365565.211899186</v>
      </c>
      <c r="E16" s="9" t="n">
        <v>0.3083867399100568</v>
      </c>
      <c r="F16" s="9" t="n">
        <v>10.57121448275179</v>
      </c>
      <c r="G16" s="6" t="inlineStr">
        <is>
          <t>Atrativo</t>
        </is>
      </c>
    </row>
    <row r="17">
      <c r="A17" s="9" t="n">
        <v>0</v>
      </c>
      <c r="B17" s="9" t="n">
        <v>0</v>
      </c>
      <c r="C17" s="6" t="n">
        <v>3.12880677717547</v>
      </c>
      <c r="D17" s="8" t="n">
        <v>426940.5810671443</v>
      </c>
      <c r="E17" s="9" t="n">
        <v>0.3408309183604847</v>
      </c>
      <c r="F17" s="9" t="n">
        <v>11.79635052757254</v>
      </c>
      <c r="G17" s="6" t="inlineStr">
        <is>
          <t>Atrativo</t>
        </is>
      </c>
    </row>
    <row r="18">
      <c r="A18" s="9" t="n">
        <v>0</v>
      </c>
      <c r="B18" s="9" t="n">
        <v>0.1</v>
      </c>
      <c r="C18" s="6" t="n">
        <v>2.848173663538724</v>
      </c>
      <c r="D18" s="8" t="n">
        <v>488315.9502351027</v>
      </c>
      <c r="E18" s="9" t="n">
        <v>0.3731288403551476</v>
      </c>
      <c r="F18" s="9" t="n">
        <v>13.02148657239328</v>
      </c>
      <c r="G18" s="6" t="inlineStr">
        <is>
          <t>Atrativo</t>
        </is>
      </c>
    </row>
    <row r="19">
      <c r="A19" s="9" t="n">
        <v>0</v>
      </c>
      <c r="B19" s="9" t="n">
        <v>0.2</v>
      </c>
      <c r="C19" s="6" t="n">
        <v>2.611989721650547</v>
      </c>
      <c r="D19" s="8" t="n">
        <v>549691.3194030612</v>
      </c>
      <c r="E19" s="9" t="n">
        <v>0.4053307032797104</v>
      </c>
      <c r="F19" s="9" t="n">
        <v>14.24662261721403</v>
      </c>
      <c r="G19" s="6" t="inlineStr">
        <is>
          <t>Atrativo</t>
        </is>
      </c>
    </row>
    <row r="20">
      <c r="A20" s="9" t="n">
        <v>0.1</v>
      </c>
      <c r="B20" s="9" t="n">
        <v>-0.2</v>
      </c>
      <c r="C20" s="6" t="n">
        <v>4.274462509469151</v>
      </c>
      <c r="D20" s="8" t="n">
        <v>286305.1087142596</v>
      </c>
      <c r="E20" s="9" t="n">
        <v>0.2519500280406539</v>
      </c>
      <c r="F20" s="9" t="n">
        <v>8.469162216300949</v>
      </c>
      <c r="G20" s="6" t="inlineStr">
        <is>
          <t>Atrativo</t>
        </is>
      </c>
    </row>
    <row r="21">
      <c r="A21" s="9" t="n">
        <v>0.1</v>
      </c>
      <c r="B21" s="9" t="n">
        <v>-0.1</v>
      </c>
      <c r="C21" s="6" t="n">
        <v>3.809766576862945</v>
      </c>
      <c r="D21" s="8" t="n">
        <v>347680.477882218</v>
      </c>
      <c r="E21" s="9" t="n">
        <v>0.2818596128092803</v>
      </c>
      <c r="F21" s="9" t="n">
        <v>9.582922257047082</v>
      </c>
      <c r="G21" s="6" t="inlineStr">
        <is>
          <t>Atrativo</t>
        </is>
      </c>
    </row>
    <row r="22">
      <c r="A22" s="9" t="n">
        <v>0.1</v>
      </c>
      <c r="B22" s="9" t="n">
        <v>0</v>
      </c>
      <c r="C22" s="6" t="n">
        <v>3.433917041476357</v>
      </c>
      <c r="D22" s="8" t="n">
        <v>409055.8470501764</v>
      </c>
      <c r="E22" s="9" t="n">
        <v>0.3114982277665521</v>
      </c>
      <c r="F22" s="9" t="n">
        <v>10.69668229779321</v>
      </c>
      <c r="G22" s="6" t="inlineStr">
        <is>
          <t>Atrativo</t>
        </is>
      </c>
    </row>
    <row r="23">
      <c r="A23" s="9" t="n">
        <v>0.1</v>
      </c>
      <c r="B23" s="9" t="n">
        <v>0.1</v>
      </c>
      <c r="C23" s="6" t="n">
        <v>3.12880677717547</v>
      </c>
      <c r="D23" s="8" t="n">
        <v>470431.2162181347</v>
      </c>
      <c r="E23" s="9" t="n">
        <v>0.3409607046719125</v>
      </c>
      <c r="F23" s="9" t="n">
        <v>11.81044233853935</v>
      </c>
      <c r="G23" s="6" t="inlineStr">
        <is>
          <t>Atrativo</t>
        </is>
      </c>
    </row>
    <row r="24">
      <c r="A24" s="9" t="n">
        <v>0.1</v>
      </c>
      <c r="B24" s="9" t="n">
        <v>0.2</v>
      </c>
      <c r="C24" s="6" t="n">
        <v>2.871863472907314</v>
      </c>
      <c r="D24" s="8" t="n">
        <v>531806.5853860931</v>
      </c>
      <c r="E24" s="9" t="n">
        <v>0.3703064450766311</v>
      </c>
      <c r="F24" s="9" t="n">
        <v>12.92420237928548</v>
      </c>
      <c r="G24" s="6" t="inlineStr">
        <is>
          <t>Atrativo</t>
        </is>
      </c>
    </row>
    <row r="25">
      <c r="A25" s="9" t="n">
        <v>0.2</v>
      </c>
      <c r="B25" s="9" t="n">
        <v>-0.2</v>
      </c>
      <c r="C25" s="6" t="n">
        <v>4.652972147679345</v>
      </c>
      <c r="D25" s="8" t="n">
        <v>268420.3746972916</v>
      </c>
      <c r="E25" s="9" t="n">
        <v>0.2319889497114207</v>
      </c>
      <c r="F25" s="9" t="n">
        <v>7.73839869827587</v>
      </c>
      <c r="G25" s="6" t="inlineStr">
        <is>
          <t>Atrativo</t>
        </is>
      </c>
    </row>
    <row r="26">
      <c r="A26" s="9" t="n">
        <v>0.2</v>
      </c>
      <c r="B26" s="9" t="n">
        <v>-0.1</v>
      </c>
      <c r="C26" s="6" t="n">
        <v>4.149015289979848</v>
      </c>
      <c r="D26" s="8" t="n">
        <v>329795.74386525</v>
      </c>
      <c r="E26" s="9" t="n">
        <v>0.2596326658504442</v>
      </c>
      <c r="F26" s="9" t="n">
        <v>8.759345402293159</v>
      </c>
      <c r="G26" s="6" t="inlineStr">
        <is>
          <t>Atrativo</t>
        </is>
      </c>
    </row>
    <row r="27">
      <c r="A27" s="9" t="n">
        <v>0.2</v>
      </c>
      <c r="B27" s="9" t="n">
        <v>0</v>
      </c>
      <c r="C27" s="6" t="n">
        <v>3.741188296552991</v>
      </c>
      <c r="D27" s="8" t="n">
        <v>391171.1130332083</v>
      </c>
      <c r="E27" s="9" t="n">
        <v>0.2869628963205868</v>
      </c>
      <c r="F27" s="9" t="n">
        <v>9.780292106310446</v>
      </c>
      <c r="G27" s="6" t="inlineStr">
        <is>
          <t>Atrativo</t>
        </is>
      </c>
    </row>
    <row r="28">
      <c r="A28" s="9" t="n">
        <v>0.2</v>
      </c>
      <c r="B28" s="9" t="n">
        <v>0.1</v>
      </c>
      <c r="C28" s="6" t="n">
        <v>3.406090791233262</v>
      </c>
      <c r="D28" s="8" t="n">
        <v>452546.4822011667</v>
      </c>
      <c r="E28" s="9" t="n">
        <v>0.3140855650888519</v>
      </c>
      <c r="F28" s="9" t="n">
        <v>10.80123881032773</v>
      </c>
      <c r="G28" s="6" t="inlineStr">
        <is>
          <t>Atrativo</t>
        </is>
      </c>
    </row>
    <row r="29">
      <c r="A29" s="9" t="n">
        <v>0.2</v>
      </c>
      <c r="B29" s="9" t="n">
        <v>0.2</v>
      </c>
      <c r="C29" s="6" t="n">
        <v>3.12880677717547</v>
      </c>
      <c r="D29" s="8" t="n">
        <v>513921.8513691251</v>
      </c>
      <c r="E29" s="9" t="n">
        <v>0.3410687111734572</v>
      </c>
      <c r="F29" s="9" t="n">
        <v>11.82218551434502</v>
      </c>
      <c r="G29" s="6" t="inlineStr">
        <is>
          <t>Atrativo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Premissas</t>
        </is>
      </c>
      <c r="B1" s="2" t="n"/>
      <c r="C1" s="2" t="n"/>
      <c r="D1" s="2" t="n"/>
      <c r="E1" s="2" t="n"/>
      <c r="F1" s="2" t="n"/>
    </row>
    <row r="2">
      <c r="A2" s="3" t="inlineStr">
        <is>
          <t>Dados fictícios para demonstração. Premissas ilustrativas e editáveis.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Premissa</t>
        </is>
      </c>
      <c r="B4" s="4" t="inlineStr">
        <is>
          <t>Valor padrao</t>
        </is>
      </c>
      <c r="C4" s="4" t="inlineStr">
        <is>
          <t>Unidade</t>
        </is>
      </c>
      <c r="D4" s="4" t="inlineStr">
        <is>
          <t>Fonte</t>
        </is>
      </c>
      <c r="E4" s="4" t="inlineStr">
        <is>
          <t>Editavel</t>
        </is>
      </c>
      <c r="F4" s="4" t="inlineStr">
        <is>
          <t>Descricao</t>
        </is>
      </c>
    </row>
    <row r="5">
      <c r="A5" s="6" t="inlineStr">
        <is>
          <t>Consumo</t>
        </is>
      </c>
      <c r="B5" s="6" t="n">
        <v>4500</v>
      </c>
      <c r="C5" s="6" t="inlineStr">
        <is>
          <t>kWh/mês</t>
        </is>
      </c>
      <c r="D5" s="6" t="inlineStr">
        <is>
          <t>Sintético</t>
        </is>
      </c>
      <c r="E5" s="6" t="inlineStr">
        <is>
          <t>Sim</t>
        </is>
      </c>
      <c r="F5" s="6" t="inlineStr">
        <is>
          <t>Cliente comercial fictício.</t>
        </is>
      </c>
    </row>
    <row r="6">
      <c r="A6" s="6" t="inlineStr">
        <is>
          <t>Tarifa</t>
        </is>
      </c>
      <c r="B6" s="6" t="n">
        <v>0.95</v>
      </c>
      <c r="C6" s="6" t="inlineStr">
        <is>
          <t>R$/kWh</t>
        </is>
      </c>
      <c r="D6" s="6" t="inlineStr">
        <is>
          <t>Premissa sintética</t>
        </is>
      </c>
      <c r="E6" s="6" t="inlineStr">
        <is>
          <t>Sim</t>
        </is>
      </c>
      <c r="F6" s="6" t="inlineStr">
        <is>
          <t>Tarifa compensável configurável. Não é tarifa oficial.</t>
        </is>
      </c>
    </row>
    <row r="7">
      <c r="A7" s="6" t="inlineStr">
        <is>
          <t>HSP</t>
        </is>
      </c>
      <c r="B7" s="6" t="n">
        <v>4.87</v>
      </c>
      <c r="C7" s="6" t="inlineStr">
        <is>
          <t>h/dia</t>
        </is>
      </c>
      <c r="D7" s="6" t="inlineStr">
        <is>
          <t>Premissa ilustrativa</t>
        </is>
      </c>
      <c r="E7" s="6" t="inlineStr">
        <is>
          <t>Sim</t>
        </is>
      </c>
      <c r="F7" s="6" t="inlineStr">
        <is>
          <t>Média do exemplo.</t>
        </is>
      </c>
    </row>
    <row r="8">
      <c r="A8" s="6" t="inlineStr">
        <is>
          <t>Performance Ratio</t>
        </is>
      </c>
      <c r="B8" s="6" t="n">
        <v>0.8</v>
      </c>
      <c r="C8" s="6" t="inlineStr">
        <is>
          <t>%</t>
        </is>
      </c>
      <c r="D8" s="6" t="inlineStr">
        <is>
          <t>Premissa técnica</t>
        </is>
      </c>
      <c r="E8" s="6" t="inlineStr">
        <is>
          <t>Sim</t>
        </is>
      </c>
      <c r="F8" s="6" t="inlineStr">
        <is>
          <t>Eficiência global.</t>
        </is>
      </c>
    </row>
    <row r="9">
      <c r="A9" s="6" t="inlineStr">
        <is>
          <t>CAPEX</t>
        </is>
      </c>
      <c r="B9" s="6" t="n">
        <v>4200</v>
      </c>
      <c r="C9" s="6" t="inlineStr">
        <is>
          <t>R$/kWp</t>
        </is>
      </c>
      <c r="D9" s="6" t="inlineStr">
        <is>
          <t>Premissa ilustrativa</t>
        </is>
      </c>
      <c r="E9" s="6" t="inlineStr">
        <is>
          <t>Sim</t>
        </is>
      </c>
      <c r="F9" s="6" t="inlineStr">
        <is>
          <t>Investimento por kWp.</t>
        </is>
      </c>
    </row>
    <row r="10">
      <c r="A10" s="6" t="inlineStr">
        <is>
          <t>OPEX</t>
        </is>
      </c>
      <c r="B10" s="6" t="n">
        <v>0.012</v>
      </c>
      <c r="C10" s="6" t="inlineStr">
        <is>
          <t>% CAPEX</t>
        </is>
      </c>
      <c r="D10" s="6" t="inlineStr">
        <is>
          <t>Premissa ilustrativa</t>
        </is>
      </c>
      <c r="E10" s="6" t="inlineStr">
        <is>
          <t>Sim</t>
        </is>
      </c>
      <c r="F10" s="6" t="inlineStr">
        <is>
          <t>Custos anuais.</t>
        </is>
      </c>
    </row>
    <row r="11">
      <c r="A11" s="6" t="inlineStr">
        <is>
          <t>CO2</t>
        </is>
      </c>
      <c r="B11" s="6" t="n">
        <v>0.0385</v>
      </c>
      <c r="C11" s="6" t="inlineStr">
        <is>
          <t>kg/kWh</t>
        </is>
      </c>
      <c r="D11" s="6" t="inlineStr">
        <is>
          <t>Premissa ilustrativa</t>
        </is>
      </c>
      <c r="E11" s="6" t="inlineStr">
        <is>
          <t>Sim</t>
        </is>
      </c>
      <c r="F11" s="6" t="inlineStr">
        <is>
          <t>Substituir por fonte oficial se usado publicamente.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Documentação</t>
        </is>
      </c>
      <c r="B1" s="2" t="n"/>
    </row>
    <row r="2">
      <c r="A2" s="3" t="inlineStr">
        <is>
          <t>Dados fictícios para demonstração. Premissas ilustrativas e editáveis.</t>
        </is>
      </c>
      <c r="B2" s="2" t="n"/>
    </row>
    <row r="3">
      <c r="A3" s="2" t="n"/>
      <c r="B3" s="2" t="n"/>
    </row>
    <row r="4">
      <c r="A4" s="4" t="inlineStr">
        <is>
          <t>Topico</t>
        </is>
      </c>
      <c r="B4" s="4" t="inlineStr">
        <is>
          <t>Descricao</t>
        </is>
      </c>
    </row>
    <row r="5">
      <c r="A5" s="6" t="inlineStr">
        <is>
          <t>Objetivo</t>
        </is>
      </c>
      <c r="B5" s="6" t="inlineStr">
        <is>
          <t>Avaliar viabilidade técnica e financeira de sistema fotovoltaico.</t>
        </is>
      </c>
    </row>
    <row r="6">
      <c r="A6" s="6" t="inlineStr">
        <is>
          <t>Limitação</t>
        </is>
      </c>
      <c r="B6" s="6" t="inlineStr">
        <is>
          <t>Modelo simplificado. Não substitui projeto executivo, estudo de conexão ou análise tarifária específica.</t>
        </is>
      </c>
    </row>
    <row r="7">
      <c r="A7" s="6" t="inlineStr">
        <is>
          <t>Fórmula FV</t>
        </is>
      </c>
      <c r="B7" s="6" t="inlineStr">
        <is>
          <t>Potência kWp = consumo diário / (HSP x PR).</t>
        </is>
      </c>
    </row>
    <row r="8">
      <c r="A8" s="6" t="inlineStr">
        <is>
          <t>Payback</t>
        </is>
      </c>
      <c r="B8" s="6" t="inlineStr">
        <is>
          <t>Calculado por fluxo acumulado, com interpolação anual.</t>
        </is>
      </c>
    </row>
    <row r="9">
      <c r="A9" s="6" t="inlineStr">
        <is>
          <t>VPL</t>
        </is>
      </c>
      <c r="B9" s="6" t="inlineStr">
        <is>
          <t>Soma dos fluxos descontados pela TMA.</t>
        </is>
      </c>
    </row>
    <row r="10">
      <c r="A10" s="6" t="inlineStr">
        <is>
          <t>TIR</t>
        </is>
      </c>
      <c r="B10" s="6" t="inlineStr">
        <is>
          <t>Taxa que zera o VPL do fluxo de caixa.</t>
        </is>
      </c>
    </row>
    <row r="11">
      <c r="A11" s="6" t="inlineStr">
        <is>
          <t>ROI</t>
        </is>
      </c>
      <c r="B11" s="6" t="inlineStr">
        <is>
          <t>ROI acumulado em 25 anos = economia líquida acumulada / CAPEX.</t>
        </is>
      </c>
    </row>
    <row r="12">
      <c r="A12" s="6" t="inlineStr">
        <is>
          <t>LCOE</t>
        </is>
      </c>
      <c r="B12" s="6" t="inlineStr">
        <is>
          <t>Valor presente de CAPEX, OPEX e custos extraordinários dividido pela energia degradada descontada.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2026-09-09T02:46:46Z</dcterms:created>
  <dcterms:modified xsi:type="dcterms:W3CDTF">2026-09-09T02:46:46Z</dcterms:modified>
</cp:coreProperties>
</file>